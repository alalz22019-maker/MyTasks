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5.xml.rels" ContentType="application/vnd.openxmlformats-package.relationships+xml"/>
  <Override PartName="/xl/worksheets/_rels/sheet3.xml.rels" ContentType="application/vnd.openxmlformats-package.relationships+xml"/>
  <Override PartName="/xl/worksheets/_rels/sheet4.xml.rels" ContentType="application/vnd.openxmlformats-package.relationships+xml"/>
  <Override PartName="/xl/worksheets/_rels/sheet5.xml.rels" ContentType="application/vnd.openxmlformats-package.relationships+xml"/>
  <Override PartName="/xl/worksheets/_rels/sheet6.xml.rels" ContentType="application/vnd.openxmlformats-package.relationships+xml"/>
  <Override PartName="/xl/worksheets/sheet11.xml" ContentType="application/vnd.openxmlformats-officedocument.spreadsheetml.worksheet+xml"/>
  <Override PartName="/xl/worksheets/sheet6.xml" ContentType="application/vnd.openxmlformats-officedocument.spreadsheetml.worksheet+xml"/>
  <Override PartName="/xl/worksheets/sheet10.xml" ContentType="application/vnd.openxmlformats-officedocument.spreadsheetml.worksheet+xml"/>
  <Override PartName="/xl/worksheets/sheet5.xml" ContentType="application/vnd.openxmlformats-officedocument.spreadsheetml.worksheet+xml"/>
  <Override PartName="/xl/worksheets/sheet17.xml" ContentType="application/vnd.openxmlformats-officedocument.spreadsheetml.worksheet+xml"/>
  <Override PartName="/xl/worksheets/sheet16.xml" ContentType="application/vnd.openxmlformats-officedocument.spreadsheetml.worksheet+xml"/>
  <Override PartName="/xl/worksheets/sheet15.xml" ContentType="application/vnd.openxmlformats-officedocument.spreadsheetml.worksheet+xml"/>
  <Override PartName="/xl/worksheets/sheet4.xml" ContentType="application/vnd.openxmlformats-officedocument.spreadsheetml.worksheet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2.xml" ContentType="application/vnd.openxmlformats-officedocument.spreadsheetml.worksheet+xml"/>
  <Override PartName="/xl/worksheets/sheet7.xml" ContentType="application/vnd.openxmlformats-officedocument.spreadsheetml.worksheet+xml"/>
  <Override PartName="/xl/worksheets/sheet13.xml" ContentType="application/vnd.openxmlformats-officedocument.spreadsheetml.worksheet+xml"/>
  <Override PartName="/xl/worksheets/sheet8.xml" ContentType="application/vnd.openxmlformats-officedocument.spreadsheetml.worksheet+xml"/>
  <Override PartName="/xl/worksheets/sheet14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  <Override PartName="/xl/tables/table4.xml" ContentType="application/vnd.openxmlformats-officedocument.spreadsheetml.table+xml"/>
  <Override PartName="/xl/tables/table1.xml" ContentType="application/vnd.openxmlformats-officedocument.spreadsheetml.table+xml"/>
  <Override PartName="/xl/tables/table3.xml" ContentType="application/vnd.openxmlformats-officedocument.spreadsheetml.table+xml"/>
  <Override PartName="/xl/tables/table2.xml" ContentType="application/vnd.openxmlformats-officedocument.spreadsheetml.table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1" activeTab="6"/>
  </bookViews>
  <sheets>
    <sheet name="Do not delete" sheetId="1" state="hidden" r:id="rId3"/>
    <sheet name="User Manual" sheetId="2" state="visible" r:id="rId4"/>
    <sheet name="Tasks Tracker" sheetId="3" state="visible" r:id="rId5"/>
    <sheet name="Initiatives" sheetId="4" state="visible" r:id="rId6"/>
    <sheet name="Reports" sheetId="5" state="visible" r:id="rId7"/>
    <sheet name="Meetings" sheetId="6" state="visible" r:id="rId8"/>
    <sheet name="Priorities" sheetId="7" state="visible" r:id="rId9"/>
    <sheet name="Weekly Achiever" sheetId="8" state="visible" r:id="rId10"/>
    <sheet name="Dashboard Files --" sheetId="9" state="visible" r:id="rId11"/>
    <sheet name="Health check Model" sheetId="10" state="visible" r:id="rId12"/>
    <sheet name="Health Score" sheetId="11" state="visible" r:id="rId13"/>
    <sheet name="Tasks Status" sheetId="12" state="visible" r:id="rId14"/>
    <sheet name="Health Score Trend" sheetId="13" state="visible" r:id="rId15"/>
    <sheet name="Meetings--" sheetId="14" state="visible" r:id="rId16"/>
    <sheet name="Sheet4-Owner names" sheetId="15" state="visible" r:id="rId17"/>
    <sheet name="Department" sheetId="16" state="visible" r:id="rId18"/>
    <sheet name="LastUpdate" sheetId="17" state="visible" r:id="rId19"/>
  </sheets>
  <definedNames>
    <definedName function="false" hidden="true" localSheetId="14" name="_xlnm._FilterDatabase" vbProcedure="false">'Sheet4-Owner names'!$A$1:$B$1</definedName>
    <definedName function="false" hidden="false" name="Reports" vbProcedure="false">Reports!$A$4:$L$33</definedName>
    <definedName function="false" hidden="false" localSheetId="5" name="Reports" vbProcedure="false">Meetings!$A$5:$J$27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<sst xmlns="http://schemas.openxmlformats.org/spreadsheetml/2006/main" count="584" uniqueCount="275">
  <si>
    <t xml:space="preserve">محضر</t>
  </si>
  <si>
    <t xml:space="preserve">توجيه مباشر</t>
  </si>
  <si>
    <t xml:space="preserve">إيميل</t>
  </si>
  <si>
    <t xml:space="preserve">sources</t>
  </si>
  <si>
    <t xml:space="preserve">مهمة روتينية</t>
  </si>
  <si>
    <t xml:space="preserve">Performance Analyst </t>
  </si>
  <si>
    <t xml:space="preserve">Data Analyst </t>
  </si>
  <si>
    <t xml:space="preserve">departments</t>
  </si>
  <si>
    <t xml:space="preserve">HASTT</t>
  </si>
  <si>
    <t xml:space="preserve">AI</t>
  </si>
  <si>
    <t xml:space="preserve">Critical</t>
  </si>
  <si>
    <t xml:space="preserve">High</t>
  </si>
  <si>
    <t xml:space="preserve">priority</t>
  </si>
  <si>
    <t xml:space="preserve">Medium</t>
  </si>
  <si>
    <t xml:space="preserve">Low</t>
  </si>
  <si>
    <t xml:space="preserve">Annual</t>
  </si>
  <si>
    <t xml:space="preserve">Quarterly</t>
  </si>
  <si>
    <t xml:space="preserve">frequency</t>
  </si>
  <si>
    <t xml:space="preserve">Monthly</t>
  </si>
  <si>
    <t xml:space="preserve">Weekly</t>
  </si>
  <si>
    <t xml:space="preserve">Completed</t>
  </si>
  <si>
    <t xml:space="preserve">In Progress</t>
  </si>
  <si>
    <t xml:space="preserve">status</t>
  </si>
  <si>
    <t xml:space="preserve">Delayed</t>
  </si>
  <si>
    <t xml:space="preserve">Not Started</t>
  </si>
  <si>
    <t xml:space="preserve">Done</t>
  </si>
  <si>
    <t xml:space="preserve">Not Done</t>
  </si>
  <si>
    <t xml:space="preserve">meeting status</t>
  </si>
  <si>
    <t xml:space="preserve">Yes</t>
  </si>
  <si>
    <t xml:space="preserve">No</t>
  </si>
  <si>
    <t xml:space="preserve">Clusters</t>
  </si>
  <si>
    <t xml:space="preserve">Committees</t>
  </si>
  <si>
    <t xml:space="preserve">Projects</t>
  </si>
  <si>
    <t xml:space="preserve">type of meeting</t>
  </si>
  <si>
    <t xml:space="preserve">Support Services</t>
  </si>
  <si>
    <t xml:space="preserve">External</t>
  </si>
  <si>
    <t xml:space="preserve">Others</t>
  </si>
  <si>
    <t xml:space="preserve">Performance &amp; Analytics: Operations Health Scoring Model </t>
  </si>
  <si>
    <t xml:space="preserve">User Manual</t>
  </si>
  <si>
    <t xml:space="preserve">A.</t>
  </si>
  <si>
    <t xml:space="preserve">Purpose of the Model</t>
  </si>
  <si>
    <t xml:space="preserve">To provide a standardized and objective method for rating a Department’s operational health.
This scale enables leadership to:</t>
  </si>
  <si>
    <t xml:space="preserve">Identify performance trends, risks, and improvement areas across Tasks, Initiatives, Reports, and Meetings</t>
  </si>
  <si>
    <t xml:space="preserve">Support the weekly operations governance cycle and decision-making</t>
  </si>
  <si>
    <t xml:space="preserve">B.</t>
  </si>
  <si>
    <t xml:space="preserve">How to use this:</t>
  </si>
  <si>
    <t xml:space="preserve">Step-1</t>
  </si>
  <si>
    <t xml:space="preserve">Update ONLY following tabs. Complete the green columns in Arabic/English and the orange columns in English only with latest information &amp; Status.</t>
  </si>
  <si>
    <t xml:space="preserve">Tasks Tracker</t>
  </si>
  <si>
    <t xml:space="preserve">Do Not: (Important Restrictions)</t>
  </si>
  <si>
    <t xml:space="preserve">Initiatives</t>
  </si>
  <si>
    <t xml:space="preserve">Rename any sheet</t>
  </si>
  <si>
    <t xml:space="preserve">Reports</t>
  </si>
  <si>
    <t xml:space="preserve">Rename or delete any column</t>
  </si>
  <si>
    <t xml:space="preserve">Meetings</t>
  </si>
  <si>
    <t xml:space="preserve">Change formulas or formatting</t>
  </si>
  <si>
    <t xml:space="preserve">Priorities</t>
  </si>
  <si>
    <t xml:space="preserve">Overwrite automatically calculated cells </t>
  </si>
  <si>
    <t xml:space="preserve">Weekly Achiever</t>
  </si>
  <si>
    <t xml:space="preserve">Add new sheets to the model</t>
  </si>
  <si>
    <t xml:space="preserve">Step-2</t>
  </si>
  <si>
    <t xml:space="preserve">Share the updated file with Data &amp; Dashboard team (Hammadi) every Thursday to relfect on the dashboard</t>
  </si>
  <si>
    <t xml:space="preserve">C.</t>
  </si>
  <si>
    <t xml:space="preserve">Scoring Components</t>
  </si>
  <si>
    <t xml:space="preserve">The model evaluates operational health across four key performance dimensions:
Tasks, Initiatives, Reports, and Meetings</t>
  </si>
  <si>
    <t xml:space="preserve">Each dimension is converted into a 0–5 performance score, weighted, and combined to produce the Overall Health Score</t>
  </si>
  <si>
    <t xml:space="preserve">Each category has two scoring components:</t>
  </si>
  <si>
    <t xml:space="preserve">1. Completion Score (0–5)</t>
  </si>
  <si>
    <t xml:space="preserve">Based on % Completed + % In-Progress</t>
  </si>
  <si>
    <t xml:space="preserve">2. Delay Score (0–5)</t>
  </si>
  <si>
    <t xml:space="preserve">Based on % Delayed</t>
  </si>
  <si>
    <t xml:space="preserve">The Final Category Score is a 50–50 weighted average, ensuring the score reflects both:</t>
  </si>
  <si>
    <t xml:space="preserve">Speed (completion), and</t>
  </si>
  <si>
    <t xml:space="preserve">Discipline (timeliness and delays)</t>
  </si>
  <si>
    <t xml:space="preserve">D.</t>
  </si>
  <si>
    <t xml:space="preserve">Weighting Structure</t>
  </si>
  <si>
    <t xml:space="preserve">Each category contributes differently to the overall score. These weights reflect operational criticality in the vertical</t>
  </si>
  <si>
    <t xml:space="preserve">Category</t>
  </si>
  <si>
    <t xml:space="preserve">Weight</t>
  </si>
  <si>
    <t xml:space="preserve">Tasks</t>
  </si>
  <si>
    <t xml:space="preserve">Meetings </t>
  </si>
  <si>
    <t xml:space="preserve">E.</t>
  </si>
  <si>
    <t xml:space="preserve">Categories for weekly employee recognition</t>
  </si>
  <si>
    <t xml:space="preserve">Week 1</t>
  </si>
  <si>
    <t xml:space="preserve">Action Accelerator</t>
  </si>
  <si>
    <t xml:space="preserve">Week 2</t>
  </si>
  <si>
    <t xml:space="preserve">Innovation Spark</t>
  </si>
  <si>
    <t xml:space="preserve">Week 3</t>
  </si>
  <si>
    <t xml:space="preserve">Extra Miler</t>
  </si>
  <si>
    <t xml:space="preserve">Week 4</t>
  </si>
  <si>
    <t xml:space="preserve">Collaboration Legend</t>
  </si>
  <si>
    <t xml:space="preserve">Performance &amp; Analytics: Tasks Tracker</t>
  </si>
  <si>
    <t xml:space="preserve">S No.</t>
  </si>
  <si>
    <t xml:space="preserve">Source</t>
  </si>
  <si>
    <t xml:space="preserve">Description</t>
  </si>
  <si>
    <t xml:space="preserve">Department</t>
  </si>
  <si>
    <t xml:space="preserve">Start Date</t>
  </si>
  <si>
    <t xml:space="preserve">Due Date</t>
  </si>
  <si>
    <t xml:space="preserve">Completion %</t>
  </si>
  <si>
    <t xml:space="preserve">Status</t>
  </si>
  <si>
    <t xml:space="preserve">Priority</t>
  </si>
  <si>
    <t xml:space="preserve">Task Owner</t>
  </si>
  <si>
    <t xml:space="preserve">Secondery Owner</t>
  </si>
  <si>
    <t xml:space="preserve">Under P&amp;A Scope? (Y/N)</t>
  </si>
  <si>
    <t xml:space="preserve">If 'No', Specify Responsible Owner</t>
  </si>
  <si>
    <t xml:space="preserve">Comments</t>
  </si>
  <si>
    <t xml:space="preserve">متابعة مكتب البيانات بخصوص المطلوب لبحث د. منيرة العيسى </t>
  </si>
  <si>
    <t xml:space="preserve">م. حمادي الشعائره</t>
  </si>
  <si>
    <t xml:space="preserve">أ. فيصل الرحيمي</t>
  </si>
  <si>
    <t xml:space="preserve">تم ارسال  البيانات من حمادي لفيصل </t>
  </si>
  <si>
    <t xml:space="preserve">متابعة تحويل ملف GRC لإدارة أخرى</t>
  </si>
  <si>
    <t xml:space="preserve">أ. نورة التركي</t>
  </si>
  <si>
    <t xml:space="preserve">تم ارسال تذكير من منار القحطاني لنواف الشثري بخصوص تحديد الممثل</t>
  </si>
  <si>
    <t xml:space="preserve">العمل على تصميم جديد للوحة البيانات </t>
  </si>
  <si>
    <t xml:space="preserve">أ. تركي السلمان</t>
  </si>
  <si>
    <t xml:space="preserve">جاري العمل على لوحة البيانات وعمل خطة مشروع لها وللمخرجات</t>
  </si>
  <si>
    <t xml:space="preserve">مناقشة بخصوص التهاب السحايا + استبانة تحديد جنس الجنين اثناء الحمل مع د. منار  </t>
  </si>
  <si>
    <t xml:space="preserve">جاري تحديد موعد مع دكتورة منار</t>
  </si>
  <si>
    <t xml:space="preserve">العمل على متطلبات إدارة السجون + ارسال ايميل د. احمد بخصوص البيانات</t>
  </si>
  <si>
    <t xml:space="preserve">أ. صالحة المالكي</t>
  </si>
  <si>
    <t xml:space="preserve">تم اكمال العمل من صالحه جاري المتابعه مع جود</t>
  </si>
  <si>
    <t xml:space="preserve">اكمال مهمة شهادات الإنجاز </t>
  </si>
  <si>
    <t xml:space="preserve">أ. رهف جباري</t>
  </si>
  <si>
    <t xml:space="preserve">العمل على انجاز تأكد </t>
  </si>
  <si>
    <t xml:space="preserve">العمل على بيانات راصد </t>
  </si>
  <si>
    <t xml:space="preserve">م. علي الزهراني</t>
  </si>
  <si>
    <t xml:space="preserve">العمل على بيانات نفيس</t>
  </si>
  <si>
    <t xml:space="preserve">عمل خطة مشروع للإدارة للستة اشهر القادمة </t>
  </si>
  <si>
    <t xml:space="preserve">العمل على آلية انشاء المؤشرات في المركز </t>
  </si>
  <si>
    <t xml:space="preserve">حصر السياسات وانشاء مؤشرات تنظيمية لها </t>
  </si>
  <si>
    <t xml:space="preserve">أ. صفا الشهري</t>
  </si>
  <si>
    <t xml:space="preserve">عقد اجتماع مع مرام الشهراني لمناقشة السياسات  — مشاركة: أ. صالحة المالكي</t>
  </si>
  <si>
    <t xml:space="preserve">عمل ملخص مهام الأسبوع الأول </t>
  </si>
  <si>
    <t xml:space="preserve">عمل نماذج تصاميم للوح البيانات بالهوية الجديدة  </t>
  </si>
  <si>
    <t xml:space="preserve">تنظيم آلية العمل داخل الفريق </t>
  </si>
  <si>
    <t xml:space="preserve">الاطلاع على نموذج طلب البيانات مع اصايل</t>
  </si>
  <si>
    <t xml:space="preserve">Do not Delete</t>
  </si>
  <si>
    <t xml:space="preserve">No.</t>
  </si>
  <si>
    <t xml:space="preserve">%</t>
  </si>
  <si>
    <t xml:space="preserve">Total</t>
  </si>
  <si>
    <t xml:space="preserve">Performance &amp; Analytics: Initiatives Tracker</t>
  </si>
  <si>
    <t xml:space="preserve">Name</t>
  </si>
  <si>
    <t xml:space="preserve">Primary Owner</t>
  </si>
  <si>
    <t xml:space="preserve">Secondary Owner</t>
  </si>
  <si>
    <t xml:space="preserve">إطلاق لوحة بيانات المؤشرات v0</t>
  </si>
  <si>
    <t xml:space="preserve">بناء لوحة المؤشرات على مؤشرات LOC وBTSC القائمة بالهوية الرسمية المعتمدة</t>
  </si>
  <si>
    <t xml:space="preserve">الهدف: الإطلاق 30 يوليو — التصميم قيد العمل</t>
  </si>
  <si>
    <t xml:space="preserve">آلية دورة حياة المؤشرات ونماذجها</t>
  </si>
  <si>
    <t xml:space="preserve">بناء آلية إنشاء واعتماد المؤشرات مع النماذج الأربعة (PA-F01 إلى PA-F04)</t>
  </si>
  <si>
    <t xml:space="preserve">النماذج جاهزة — تبقى الموائمة والاعتماد الرسمي</t>
  </si>
  <si>
    <t xml:space="preserve">المؤشر التجريبي PA-KPI-001</t>
  </si>
  <si>
    <t xml:space="preserve">تطبيق الآلية كاملة على مؤشر تدوير وحدات الدم بين القطاعات</t>
  </si>
  <si>
    <t xml:space="preserve">بيانات BBIS متوفرة من القابضة — البطاقة قيد الإعداد</t>
  </si>
  <si>
    <t xml:space="preserve">جرد وتوحيد مؤشرات LOC وBTSC</t>
  </si>
  <si>
    <t xml:space="preserve">جرد المؤشرات القائمة وتوحيد بطاقاتها على نموذج PA-F02</t>
  </si>
  <si>
    <t xml:space="preserve">قائمة الجرد v1 مستهدفة الخميس 9 يوليو</t>
  </si>
  <si>
    <t xml:space="preserve">خريطة مصادر البيانات والوصول</t>
  </si>
  <si>
    <t xml:space="preserve">حصر مصادر البيانات وصلاحيات الوصول لكل مؤشرات v0</t>
  </si>
  <si>
    <t xml:space="preserve">أ. محمد القحطاني</t>
  </si>
  <si>
    <t xml:space="preserve">نظام ضبط الوثائق للإدارة</t>
  </si>
  <si>
    <t xml:space="preserve">شجرة مجلدات وترميز موحد وسجل صادر/وارد للإدارة</t>
  </si>
  <si>
    <t xml:space="preserve">أول ملفين دخلا الترميز الجديد (PLN-001 وPLN-002)</t>
  </si>
  <si>
    <t xml:space="preserve">مسودة مجموعة المؤشرات الموحدة</t>
  </si>
  <si>
    <t xml:space="preserve">إعداد مسودة المجموعة الموحدة للنقاش تمهيداً لاعتمادها في أغسطس</t>
  </si>
  <si>
    <t xml:space="preserve">Performance &amp; Analytics: Key Reports Tracker</t>
  </si>
  <si>
    <t xml:space="preserve">Purpose</t>
  </si>
  <si>
    <t xml:space="preserve">Frequency</t>
  </si>
  <si>
    <t xml:space="preserve">ملف تتبع العمليات (تغذية راصد)</t>
  </si>
  <si>
    <t xml:space="preserve">تحديث أسبوعي لمهام ومبادرات وتقارير واجتماعات الإدارة لتغذية لوحة راصد</t>
  </si>
  <si>
    <t xml:space="preserve">يُسلَّم لفريق البيانات (حمادي) كل خميس</t>
  </si>
  <si>
    <t xml:space="preserve">ملخص إنجازات الأسبوع</t>
  </si>
  <si>
    <t xml:space="preserve">ملخص أسبوعي بإنجازات الفريق ومهامه</t>
  </si>
  <si>
    <t xml:space="preserve">ملخص الأسبوع الأول مكتمل</t>
  </si>
  <si>
    <t xml:space="preserve">حزمة الخميس للمدير</t>
  </si>
  <si>
    <t xml:space="preserve">حزمة العرض الأسبوعية لمحطة إقفال الخميس واعتماد المخرجات</t>
  </si>
  <si>
    <t xml:space="preserve">هذا الأسبوع: بطاقة PA-KPI-001 + قائمة الجرد</t>
  </si>
  <si>
    <t xml:space="preserve">تقرير حالة لوحة v0</t>
  </si>
  <si>
    <t xml:space="preserve">تحديث أسبوعي عن تقدم بناء لوحة المؤشرات</t>
  </si>
  <si>
    <t xml:space="preserve">تقرير المعايير الدولية للمؤشرات</t>
  </si>
  <si>
    <t xml:space="preserve">مقارنة مرجعية بالمعايير الدولية والإقليمية للمؤشرات القائمة</t>
  </si>
  <si>
    <t xml:space="preserve">مدخل لتوحيد مجموعة المؤشرات</t>
  </si>
  <si>
    <t xml:space="preserve">Do not Delete </t>
  </si>
  <si>
    <t xml:space="preserve">Completed </t>
  </si>
  <si>
    <t xml:space="preserve">Performance &amp; Analytics: Key Meetings Tracker</t>
  </si>
  <si>
    <t xml:space="preserve">Meeting Name</t>
  </si>
  <si>
    <t xml:space="preserve">Type of Meeting</t>
  </si>
  <si>
    <t xml:space="preserve">Schedule</t>
  </si>
  <si>
    <t xml:space="preserve">Status - (For current week)</t>
  </si>
  <si>
    <t xml:space="preserve">Organizer</t>
  </si>
  <si>
    <t xml:space="preserve">الاجتماع الأسبوعي لفريق الإدارة</t>
  </si>
  <si>
    <t xml:space="preserve">متابعة المهام والأولويات وتوزيع العمل</t>
  </si>
  <si>
    <t xml:space="preserve">الأحد صباحاً</t>
  </si>
  <si>
    <t xml:space="preserve">انعقد بداية الأسبوع</t>
  </si>
  <si>
    <t xml:space="preserve">محطة إقفال الخميس مع المدير (1:1)</t>
  </si>
  <si>
    <t xml:space="preserve">عرض مخرجات الأسبوع واعتمادها إدارياً</t>
  </si>
  <si>
    <t xml:space="preserve">كل خميس</t>
  </si>
  <si>
    <t xml:space="preserve">خميس 9 يوليو: عرض بطاقة PA-KPI-001 وقائمة الجرد</t>
  </si>
  <si>
    <t xml:space="preserve">اجتماع مواءمة السياسات والمعايير والجودة</t>
  </si>
  <si>
    <t xml:space="preserve">مواءمة ربط مؤشرات v0 بالسياسات مع إدارة سعيد القحطاني</t>
  </si>
  <si>
    <t xml:space="preserve">أسبوع 12–15 يوليو</t>
  </si>
  <si>
    <t xml:space="preserve">ضمن مرحلة الموائمة</t>
  </si>
  <si>
    <t xml:space="preserve">اجتماع مواءمة الامتثال والتفتيش</t>
  </si>
  <si>
    <t xml:space="preserve">قابلية التحقق الميداني للمؤشرات مع إدارة مطلق العتيبي</t>
  </si>
  <si>
    <t xml:space="preserve">بالتوازي مع مواءمة السياسات</t>
  </si>
  <si>
    <t xml:space="preserve">اجتماع مناقشة السياسات مع مرام الشهراني</t>
  </si>
  <si>
    <t xml:space="preserve">حصر السياسات وإنشاء مؤشرات تنظيمية لها</t>
  </si>
  <si>
    <t xml:space="preserve">هذا الأسبوع</t>
  </si>
  <si>
    <t xml:space="preserve">مرتبط بالمهمة رقم 12</t>
  </si>
  <si>
    <t xml:space="preserve">اجتماع مع د. منار</t>
  </si>
  <si>
    <t xml:space="preserve">مناقشة التهاب السحايا واستبانة تحديد جنس الجنين أثناء الحمل</t>
  </si>
  <si>
    <t xml:space="preserve">قيد التحديد</t>
  </si>
  <si>
    <t xml:space="preserve">جاري تحديد الموعد — مرتبط بالمهمة رقم 4</t>
  </si>
  <si>
    <t xml:space="preserve">متابعة مكتب البيانات (بحث د. منيرة العيسى)</t>
  </si>
  <si>
    <t xml:space="preserve">تسليم البيانات المطلوبة للبحث</t>
  </si>
  <si>
    <t xml:space="preserve">مكتمل</t>
  </si>
  <si>
    <t xml:space="preserve">تم إرسال البيانات — مرتبط بالمهمة رقم 1</t>
  </si>
  <si>
    <t xml:space="preserve">vertical</t>
  </si>
  <si>
    <t xml:space="preserve">taskid</t>
  </si>
  <si>
    <t xml:space="preserve">Support</t>
  </si>
  <si>
    <t xml:space="preserve">P&amp;A</t>
  </si>
  <si>
    <t xml:space="preserve">Reason in One line</t>
  </si>
  <si>
    <t xml:space="preserve">أنجزت ملخص الأسبوع الأول ونماذج تصاميم اللوحة بالهوية الجديدة في وقتها</t>
  </si>
  <si>
    <t xml:space="preserve">Health Scoring Model
</t>
  </si>
  <si>
    <t xml:space="preserve">Model &amp; Scoring Criteria</t>
  </si>
  <si>
    <t xml:space="preserve">Metric</t>
  </si>
  <si>
    <t xml:space="preserve">Weight (%)</t>
  </si>
  <si>
    <t xml:space="preserve">Performance Score (0–5)</t>
  </si>
  <si>
    <t xml:space="preserve">Weighted Score</t>
  </si>
  <si>
    <t xml:space="preserve">Overall Health Rating Criteria</t>
  </si>
  <si>
    <t xml:space="preserve">Score</t>
  </si>
  <si>
    <t xml:space="preserve">Comment</t>
  </si>
  <si>
    <t xml:space="preserve">Initiatives </t>
  </si>
  <si>
    <t xml:space="preserve">&lt;3</t>
  </si>
  <si>
    <t xml:space="preserve">Critical - Needs Immediate Action</t>
  </si>
  <si>
    <t xml:space="preserve">3 - 4.5</t>
  </si>
  <si>
    <t xml:space="preserve">At Risk - Monitor Closely</t>
  </si>
  <si>
    <t xml:space="preserve">&gt; 4.5</t>
  </si>
  <si>
    <t xml:space="preserve">On Track - Stable</t>
  </si>
  <si>
    <t xml:space="preserve">Overall Health Score</t>
  </si>
  <si>
    <t xml:space="preserve">Tasks Status &amp; Score</t>
  </si>
  <si>
    <t xml:space="preserve">Completion &amp; In-progress Score</t>
  </si>
  <si>
    <t xml:space="preserve">Delays Score</t>
  </si>
  <si>
    <t xml:space="preserve">Total Score</t>
  </si>
  <si>
    <t xml:space="preserve">Tasks scoring criteria</t>
  </si>
  <si>
    <t xml:space="preserve">% Delayed</t>
  </si>
  <si>
    <t xml:space="preserve">&gt;60%</t>
  </si>
  <si>
    <t xml:space="preserve">&lt;50%</t>
  </si>
  <si>
    <t xml:space="preserve">Completed + In progress</t>
  </si>
  <si>
    <t xml:space="preserve">50.1%–60%</t>
  </si>
  <si>
    <t xml:space="preserve">50–60%</t>
  </si>
  <si>
    <t xml:space="preserve">40.1%–50%</t>
  </si>
  <si>
    <t xml:space="preserve">60–70%</t>
  </si>
  <si>
    <t xml:space="preserve">20.1%–40%</t>
  </si>
  <si>
    <t xml:space="preserve">70–80%</t>
  </si>
  <si>
    <t xml:space="preserve">10.1%–20%</t>
  </si>
  <si>
    <t xml:space="preserve">80–90%</t>
  </si>
  <si>
    <t xml:space="preserve">0%–10%</t>
  </si>
  <si>
    <t xml:space="preserve">≥90%</t>
  </si>
  <si>
    <t xml:space="preserve">Initiatives progress &amp; Score</t>
  </si>
  <si>
    <t xml:space="preserve">Completion &amp; On Track Score</t>
  </si>
  <si>
    <t xml:space="preserve">Initiatives scoring criteria</t>
  </si>
  <si>
    <t xml:space="preserve">Completed + In Progress</t>
  </si>
  <si>
    <t xml:space="preserve">Reports Status &amp; Score</t>
  </si>
  <si>
    <t xml:space="preserve">Reports scoring criteria</t>
  </si>
  <si>
    <t xml:space="preserve">Meetings Status &amp; Score</t>
  </si>
  <si>
    <t xml:space="preserve">Meetings scoring criteria</t>
  </si>
  <si>
    <t xml:space="preserve">Done %</t>
  </si>
  <si>
    <t xml:space="preserve">ID</t>
  </si>
  <si>
    <t xml:space="preserve">Date</t>
  </si>
  <si>
    <t xml:space="preserve">score</t>
  </si>
  <si>
    <t xml:space="preserve">id</t>
  </si>
  <si>
    <t xml:space="preserve">Type</t>
  </si>
  <si>
    <t xml:space="preserve">name</t>
  </si>
  <si>
    <t xml:space="preserve">name2</t>
  </si>
  <si>
    <t xml:space="preserve">LastUpdate</t>
  </si>
</sst>
</file>

<file path=xl/styles.xml><?xml version="1.0" encoding="utf-8"?>
<styleSheet xmlns="http://schemas.openxmlformats.org/spreadsheetml/2006/main">
  <numFmts count="12">
    <numFmt numFmtId="164" formatCode="General"/>
    <numFmt numFmtId="165" formatCode="0%"/>
    <numFmt numFmtId="166" formatCode="m/d/yyyy"/>
    <numFmt numFmtId="167" formatCode="General"/>
    <numFmt numFmtId="168" formatCode="0.00"/>
    <numFmt numFmtId="169" formatCode="yyyy\-mm\-dd\ h:mm:ss"/>
    <numFmt numFmtId="170" formatCode="mm/dd/yy"/>
    <numFmt numFmtId="171" formatCode="_(* #,##0.0_);_(* \(#,##0.0\);_(* \-??_);_(@_)"/>
    <numFmt numFmtId="172" formatCode="0.0"/>
    <numFmt numFmtId="173" formatCode="#,##0_);\(#,##0\)"/>
    <numFmt numFmtId="174" formatCode="00000"/>
    <numFmt numFmtId="175" formatCode="0"/>
  </numFmts>
  <fonts count="62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theme="1"/>
      <name val="Calibri"/>
      <family val="2"/>
      <charset val="1"/>
    </font>
    <font>
      <sz val="12"/>
      <color rgb="FF000000"/>
      <name val="Sakkal Majalla"/>
      <family val="0"/>
      <charset val="1"/>
    </font>
    <font>
      <b val="true"/>
      <sz val="22"/>
      <color theme="0"/>
      <name val="Sakkal Majalla"/>
      <family val="0"/>
      <charset val="1"/>
    </font>
    <font>
      <sz val="14"/>
      <color theme="0"/>
      <name val="Sakkal Majalla"/>
      <family val="0"/>
      <charset val="1"/>
    </font>
    <font>
      <b val="true"/>
      <i val="true"/>
      <sz val="18"/>
      <color theme="3" tint="0.7999"/>
      <name val="Sakkal Majalla"/>
      <family val="0"/>
      <charset val="1"/>
    </font>
    <font>
      <sz val="14"/>
      <color rgb="FF000000"/>
      <name val="Sakkal Majalla"/>
      <family val="0"/>
      <charset val="1"/>
    </font>
    <font>
      <b val="true"/>
      <sz val="16"/>
      <color rgb="FF000000"/>
      <name val="Sakkal Majalla"/>
      <family val="0"/>
      <charset val="1"/>
    </font>
    <font>
      <sz val="16"/>
      <color rgb="FF000000"/>
      <name val="Sakkal Majalla"/>
      <family val="0"/>
      <charset val="1"/>
    </font>
    <font>
      <b val="true"/>
      <sz val="16"/>
      <color theme="5" tint="-0.25"/>
      <name val="Sakkal Majalla"/>
      <family val="0"/>
      <charset val="1"/>
    </font>
    <font>
      <b val="true"/>
      <sz val="15"/>
      <color rgb="FF000000"/>
      <name val="Sakkal Majalla"/>
      <family val="0"/>
      <charset val="1"/>
    </font>
    <font>
      <b val="true"/>
      <sz val="12"/>
      <color rgb="FF000000"/>
      <name val="Sakkal Majalla"/>
      <family val="0"/>
      <charset val="1"/>
    </font>
    <font>
      <b val="true"/>
      <sz val="14"/>
      <color rgb="FF000000"/>
      <name val="Sakkal Majalla"/>
      <family val="0"/>
      <charset val="1"/>
    </font>
    <font>
      <u val="single"/>
      <sz val="14"/>
      <color theme="10"/>
      <name val="Sakkal Majalla"/>
      <family val="0"/>
      <charset val="1"/>
    </font>
    <font>
      <sz val="12.5"/>
      <color rgb="FF000000"/>
      <name val="Sakkal Majalla"/>
      <family val="0"/>
      <charset val="1"/>
    </font>
    <font>
      <b val="true"/>
      <sz val="16"/>
      <color rgb="FFFF0000"/>
      <name val="Sakkal Majalla"/>
      <family val="0"/>
      <charset val="1"/>
    </font>
    <font>
      <sz val="15"/>
      <color rgb="FFFF0000"/>
      <name val="Sakkal Majalla"/>
      <family val="0"/>
      <charset val="1"/>
    </font>
    <font>
      <u val="single"/>
      <sz val="11"/>
      <color theme="10"/>
      <name val="Calibri"/>
      <family val="2"/>
      <charset val="1"/>
    </font>
    <font>
      <b val="true"/>
      <sz val="12.5"/>
      <color rgb="FF000000"/>
      <name val="Sakkal Majalla"/>
      <family val="0"/>
      <charset val="1"/>
    </font>
    <font>
      <sz val="14"/>
      <color theme="1" tint="0.15"/>
      <name val="Sakkal Majalla"/>
      <family val="0"/>
      <charset val="1"/>
    </font>
    <font>
      <sz val="15"/>
      <color rgb="FF000000"/>
      <name val="Sakkal Majalla"/>
      <family val="0"/>
      <charset val="1"/>
    </font>
    <font>
      <b val="true"/>
      <sz val="15"/>
      <color theme="1" tint="0.15"/>
      <name val="Sakkal Majalla"/>
      <family val="0"/>
      <charset val="1"/>
    </font>
    <font>
      <sz val="15"/>
      <color rgb="FF000000"/>
      <name val="Calibri"/>
      <family val="2"/>
      <charset val="1"/>
    </font>
    <font>
      <b val="true"/>
      <sz val="26"/>
      <color theme="0"/>
      <name val="Sakkal Majalla"/>
      <family val="0"/>
      <charset val="1"/>
    </font>
    <font>
      <b val="true"/>
      <sz val="16"/>
      <color theme="1"/>
      <name val="Sakkal Majalla"/>
      <family val="0"/>
      <charset val="1"/>
    </font>
    <font>
      <b val="true"/>
      <sz val="18"/>
      <color theme="1"/>
      <name val="Sakkal Majalla"/>
      <family val="0"/>
      <charset val="1"/>
    </font>
    <font>
      <sz val="16"/>
      <color theme="1"/>
      <name val="Sakkal Majalla"/>
      <family val="0"/>
      <charset val="1"/>
    </font>
    <font>
      <b val="true"/>
      <sz val="17"/>
      <color theme="1"/>
      <name val="Sakkal Majalla"/>
      <family val="0"/>
      <charset val="1"/>
    </font>
    <font>
      <sz val="17"/>
      <color theme="1"/>
      <name val="Sakkal Majalla"/>
      <family val="0"/>
      <charset val="1"/>
    </font>
    <font>
      <b val="true"/>
      <sz val="27"/>
      <color theme="0"/>
      <name val="Sakkal Majalla"/>
      <family val="0"/>
      <charset val="1"/>
    </font>
    <font>
      <sz val="18"/>
      <color theme="1"/>
      <name val="Sakkal Majalla"/>
      <family val="0"/>
      <charset val="1"/>
    </font>
    <font>
      <sz val="15"/>
      <color rgb="FF3F3F3F"/>
      <name val="Sakkal Majalla"/>
      <family val="0"/>
      <charset val="1"/>
    </font>
    <font>
      <sz val="10"/>
      <color rgb="FF000000"/>
      <name val="Arial"/>
      <family val="0"/>
      <charset val="1"/>
    </font>
    <font>
      <sz val="10"/>
      <color rgb="FF000000"/>
      <name val="Arial"/>
      <family val="2"/>
      <charset val="1"/>
    </font>
    <font>
      <b val="true"/>
      <sz val="15"/>
      <color rgb="FF3F3F3F"/>
      <name val="Sakkal Majalla"/>
      <family val="0"/>
      <charset val="1"/>
    </font>
    <font>
      <b val="true"/>
      <i val="true"/>
      <sz val="17"/>
      <color rgb="FFFF0000"/>
      <name val="Sakkal Majalla"/>
      <family val="0"/>
      <charset val="1"/>
    </font>
    <font>
      <b val="true"/>
      <sz val="11"/>
      <color rgb="FF000000"/>
      <name val="Calibri"/>
      <family val="2"/>
      <charset val="1"/>
    </font>
    <font>
      <b val="true"/>
      <sz val="11"/>
      <color theme="1"/>
      <name val="Calibri"/>
      <family val="2"/>
      <charset val="1"/>
    </font>
    <font>
      <sz val="11"/>
      <color theme="2" tint="-0.75"/>
      <name val="Calibri"/>
      <family val="2"/>
      <charset val="1"/>
    </font>
    <font>
      <sz val="11"/>
      <color rgb="FF000000"/>
      <name val="FreeSans"/>
      <family val="2"/>
      <charset val="1"/>
    </font>
    <font>
      <b val="true"/>
      <sz val="24"/>
      <color theme="0"/>
      <name val="Sakkal Majalla"/>
      <family val="0"/>
      <charset val="1"/>
    </font>
    <font>
      <b val="true"/>
      <i val="true"/>
      <sz val="20"/>
      <color theme="3" tint="0.7999"/>
      <name val="Sakkal Majalla"/>
      <family val="0"/>
      <charset val="1"/>
    </font>
    <font>
      <i val="true"/>
      <sz val="11"/>
      <color rgb="FF000000"/>
      <name val="Calibri"/>
      <family val="2"/>
      <charset val="1"/>
    </font>
    <font>
      <b val="true"/>
      <sz val="16"/>
      <color rgb="FF008658"/>
      <name val="Sakkal Majalla"/>
      <family val="0"/>
      <charset val="1"/>
    </font>
    <font>
      <sz val="14"/>
      <color rgb="FF0070C0"/>
      <name val="Sakkal Majalla"/>
      <family val="0"/>
      <charset val="1"/>
    </font>
    <font>
      <b val="true"/>
      <sz val="15"/>
      <color theme="1"/>
      <name val="Sakkal Majalla"/>
      <family val="0"/>
      <charset val="1"/>
    </font>
    <font>
      <sz val="15"/>
      <color theme="1"/>
      <name val="Sakkal Majalla"/>
      <family val="0"/>
      <charset val="1"/>
    </font>
    <font>
      <sz val="15.5"/>
      <color theme="1"/>
      <name val="Sakkal Majalla"/>
      <family val="0"/>
      <charset val="1"/>
    </font>
    <font>
      <b val="true"/>
      <sz val="17"/>
      <name val="Sakkal Majalla"/>
      <family val="0"/>
      <charset val="1"/>
    </font>
    <font>
      <b val="true"/>
      <i val="true"/>
      <sz val="14"/>
      <color rgb="FF000000"/>
      <name val="Sakkal Majalla"/>
      <family val="0"/>
      <charset val="1"/>
    </font>
    <font>
      <sz val="14"/>
      <color rgb="FF000000"/>
      <name val="Calibri"/>
      <family val="2"/>
      <charset val="1"/>
    </font>
    <font>
      <b val="true"/>
      <sz val="18"/>
      <color theme="0"/>
      <name val="Sakkal Majalla"/>
      <family val="0"/>
      <charset val="1"/>
    </font>
    <font>
      <b val="true"/>
      <sz val="16"/>
      <color theme="0"/>
      <name val="Sakkal Majalla"/>
      <family val="0"/>
      <charset val="1"/>
    </font>
    <font>
      <b val="true"/>
      <sz val="14"/>
      <color rgb="FF000000"/>
      <name val="Calibri"/>
      <family val="2"/>
      <charset val="1"/>
    </font>
    <font>
      <sz val="14"/>
      <color theme="1"/>
      <name val="Sakkal Majalla"/>
      <family val="0"/>
      <charset val="1"/>
    </font>
    <font>
      <b val="true"/>
      <sz val="14"/>
      <color theme="1"/>
      <name val="Sakkal Majalla"/>
      <family val="0"/>
      <charset val="1"/>
    </font>
    <font>
      <b val="true"/>
      <sz val="12.5"/>
      <color rgb="FF000000"/>
      <name val="Calibri"/>
      <family val="2"/>
      <charset val="1"/>
    </font>
    <font>
      <b val="true"/>
      <sz val="14"/>
      <color theme="0"/>
      <name val="Sakkal Majalla"/>
      <family val="0"/>
      <charset val="1"/>
    </font>
    <font>
      <sz val="11"/>
      <color theme="1"/>
      <name val="FreeSans"/>
      <family val="2"/>
      <charset val="1"/>
    </font>
  </fonts>
  <fills count="17">
    <fill>
      <patternFill patternType="none"/>
    </fill>
    <fill>
      <patternFill patternType="gray125"/>
    </fill>
    <fill>
      <patternFill patternType="solid">
        <fgColor rgb="FF008658"/>
        <bgColor rgb="FF00B050"/>
      </patternFill>
    </fill>
    <fill>
      <patternFill patternType="solid">
        <fgColor theme="5" tint="0.7999"/>
        <bgColor rgb="FFFFF2CC"/>
      </patternFill>
    </fill>
    <fill>
      <patternFill patternType="solid">
        <fgColor theme="5"/>
        <bgColor rgb="FFFF9900"/>
      </patternFill>
    </fill>
    <fill>
      <patternFill patternType="solid">
        <fgColor theme="9" tint="0.3999"/>
        <bgColor rgb="FFBFBFBF"/>
      </patternFill>
    </fill>
    <fill>
      <patternFill patternType="solid">
        <fgColor theme="0"/>
        <bgColor rgb="FFFEF2EC"/>
      </patternFill>
    </fill>
    <fill>
      <patternFill patternType="solid">
        <fgColor theme="5" tint="0.5999"/>
        <bgColor rgb="FFFFC7CE"/>
      </patternFill>
    </fill>
    <fill>
      <patternFill patternType="solid">
        <fgColor theme="7" tint="0.7999"/>
        <bgColor rgb="FFFEF2EC"/>
      </patternFill>
    </fill>
    <fill>
      <patternFill patternType="solid">
        <fgColor theme="0" tint="-0.15"/>
        <bgColor rgb="FFD6DCE5"/>
      </patternFill>
    </fill>
    <fill>
      <patternFill patternType="solid">
        <fgColor theme="5" tint="0.3999"/>
        <bgColor rgb="FFF8CBAD"/>
      </patternFill>
    </fill>
    <fill>
      <patternFill patternType="solid">
        <fgColor rgb="FFC8E6D9"/>
        <bgColor rgb="FFC6EFCE"/>
      </patternFill>
    </fill>
    <fill>
      <patternFill patternType="solid">
        <fgColor rgb="FFFF5050"/>
        <bgColor rgb="FFED7D31"/>
      </patternFill>
    </fill>
    <fill>
      <patternFill patternType="solid">
        <fgColor rgb="FFFFC000"/>
        <bgColor rgb="FFFF9900"/>
      </patternFill>
    </fill>
    <fill>
      <patternFill patternType="solid">
        <fgColor rgb="FF00B050"/>
        <bgColor rgb="FF008658"/>
      </patternFill>
    </fill>
    <fill>
      <patternFill patternType="solid">
        <fgColor rgb="FFFEF2EC"/>
        <bgColor rgb="FFFFF2CC"/>
      </patternFill>
    </fill>
    <fill>
      <patternFill patternType="solid">
        <fgColor rgb="FF92804C"/>
        <bgColor rgb="FF808000"/>
      </patternFill>
    </fill>
  </fills>
  <borders count="35">
    <border diagonalUp="false" diagonalDown="false">
      <left/>
      <right/>
      <top/>
      <bottom/>
      <diagonal/>
    </border>
    <border diagonalUp="false" diagonalDown="false">
      <left style="thin">
        <color theme="4"/>
      </left>
      <right/>
      <top style="thin">
        <color theme="4"/>
      </top>
      <bottom/>
      <diagonal/>
    </border>
    <border diagonalUp="false" diagonalDown="false">
      <left style="medium"/>
      <right/>
      <top style="medium"/>
      <bottom/>
      <diagonal/>
    </border>
    <border diagonalUp="false" diagonalDown="false">
      <left/>
      <right/>
      <top style="medium"/>
      <bottom/>
      <diagonal/>
    </border>
    <border diagonalUp="false" diagonalDown="false">
      <left/>
      <right style="medium"/>
      <top style="medium"/>
      <bottom/>
      <diagonal/>
    </border>
    <border diagonalUp="false" diagonalDown="false">
      <left style="medium"/>
      <right/>
      <top/>
      <bottom/>
      <diagonal/>
    </border>
    <border diagonalUp="false" diagonalDown="false">
      <left/>
      <right style="medium"/>
      <top/>
      <bottom/>
      <diagonal/>
    </border>
    <border diagonalUp="false" diagonalDown="false">
      <left style="medium"/>
      <right/>
      <top/>
      <bottom style="thin"/>
      <diagonal/>
    </border>
    <border diagonalUp="false" diagonalDown="false">
      <left/>
      <right/>
      <top/>
      <bottom style="thin"/>
      <diagonal/>
    </border>
    <border diagonalUp="false" diagonalDown="false">
      <left/>
      <right style="medium"/>
      <top/>
      <bottom style="thin"/>
      <diagonal/>
    </border>
    <border diagonalUp="false" diagonalDown="false">
      <left style="medium"/>
      <right/>
      <top/>
      <bottom style="medium"/>
      <diagonal/>
    </border>
    <border diagonalUp="false" diagonalDown="false">
      <left/>
      <right/>
      <top/>
      <bottom style="medium"/>
      <diagonal/>
    </border>
    <border diagonalUp="false" diagonalDown="false">
      <left/>
      <right style="medium"/>
      <top/>
      <bottom style="medium"/>
      <diagonal/>
    </border>
    <border diagonalUp="false" diagonalDown="false">
      <left/>
      <right style="thin"/>
      <top/>
      <bottom style="thin"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 style="thin"/>
      <right/>
      <top/>
      <bottom style="thin"/>
      <diagonal/>
    </border>
    <border diagonalUp="false" diagonalDown="false">
      <left/>
      <right style="thin"/>
      <top style="thin"/>
      <bottom style="thin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thin"/>
      <right/>
      <top style="thin"/>
      <bottom/>
      <diagonal/>
    </border>
    <border diagonalUp="false" diagonalDown="false">
      <left style="thin"/>
      <right style="thin"/>
      <top style="medium"/>
      <bottom style="medium"/>
      <diagonal/>
    </border>
    <border diagonalUp="false" diagonalDown="false">
      <left style="medium"/>
      <right style="thin"/>
      <top style="thin"/>
      <bottom style="thin"/>
      <diagonal/>
    </border>
    <border diagonalUp="false" diagonalDown="false">
      <left style="thin"/>
      <right style="medium"/>
      <top style="thin"/>
      <bottom style="thin"/>
      <diagonal/>
    </border>
    <border diagonalUp="false" diagonalDown="false">
      <left style="medium"/>
      <right style="medium"/>
      <top style="medium"/>
      <bottom/>
      <diagonal/>
    </border>
    <border diagonalUp="false" diagonalDown="false">
      <left style="medium"/>
      <right style="thin"/>
      <top style="thin"/>
      <bottom style="medium"/>
      <diagonal/>
    </border>
    <border diagonalUp="false" diagonalDown="false">
      <left style="thin"/>
      <right style="thin"/>
      <top style="thin"/>
      <bottom style="medium"/>
      <diagonal/>
    </border>
    <border diagonalUp="false" diagonalDown="false">
      <left style="thin"/>
      <right style="medium"/>
      <top style="thin"/>
      <bottom style="medium"/>
      <diagonal/>
    </border>
    <border diagonalUp="false" diagonalDown="false">
      <left style="medium"/>
      <right style="medium"/>
      <top style="medium"/>
      <bottom style="medium"/>
      <diagonal/>
    </border>
    <border diagonalUp="false" diagonalDown="false">
      <left style="medium"/>
      <right/>
      <top style="thin"/>
      <bottom style="thin"/>
      <diagonal/>
    </border>
    <border diagonalUp="false" diagonalDown="false">
      <left/>
      <right/>
      <top style="thin"/>
      <bottom style="thin"/>
      <diagonal/>
    </border>
    <border diagonalUp="false" diagonalDown="false">
      <left/>
      <right style="medium"/>
      <top style="thin"/>
      <bottom style="thin"/>
      <diagonal/>
    </border>
    <border diagonalUp="false" diagonalDown="false">
      <left/>
      <right/>
      <top style="thin"/>
      <bottom style="double"/>
      <diagonal/>
    </border>
    <border diagonalUp="false" diagonalDown="false">
      <left/>
      <right/>
      <top style="thin">
        <color theme="4"/>
      </top>
      <bottom/>
      <diagonal/>
    </border>
    <border diagonalUp="false" diagonalDown="false">
      <left/>
      <right/>
      <top style="thin">
        <color theme="4"/>
      </top>
      <bottom style="thin"/>
      <diagonal/>
    </border>
  </borders>
  <cellStyleXfs count="22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25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2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7" fillId="2" borderId="3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7" fillId="2" borderId="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2" borderId="5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6" fillId="2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7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5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6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0" fillId="3" borderId="7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0" fillId="3" borderId="8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9" fillId="3" borderId="8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9" fillId="3" borderId="9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9" fillId="0" borderId="5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9" fillId="0" borderId="6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left" vertical="bottom" textRotation="0" wrapText="false" indent="3" shrinkToFit="false"/>
      <protection locked="true" hidden="false"/>
    </xf>
    <xf numFmtId="164" fontId="11" fillId="3" borderId="8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3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8" fillId="0" borderId="9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9" fillId="0" borderId="6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2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5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21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22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5" fillId="0" borderId="0" xfId="0" applyFont="true" applyBorder="false" applyAlignment="true" applyProtection="false">
      <alignment horizontal="left" vertical="center" textRotation="0" wrapText="false" indent="1" shrinkToFit="false"/>
      <protection locked="true" hidden="false"/>
    </xf>
    <xf numFmtId="164" fontId="9" fillId="0" borderId="0" xfId="0" applyFont="true" applyBorder="false" applyAlignment="true" applyProtection="false">
      <alignment horizontal="left" vertical="center" textRotation="0" wrapText="false" indent="2" shrinkToFit="false"/>
      <protection locked="true" hidden="false"/>
    </xf>
    <xf numFmtId="164" fontId="23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3" fillId="0" borderId="5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2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3" fillId="0" borderId="6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5" fillId="0" borderId="0" xfId="0" applyFont="true" applyBorder="false" applyAlignment="true" applyProtection="false">
      <alignment horizontal="left" vertical="bottom" textRotation="0" wrapText="false" indent="2" shrinkToFit="false"/>
      <protection locked="true" hidden="false"/>
    </xf>
    <xf numFmtId="164" fontId="9" fillId="0" borderId="0" xfId="0" applyFont="true" applyBorder="false" applyAlignment="true" applyProtection="false">
      <alignment horizontal="left" vertical="center" textRotation="0" wrapText="false" indent="1" shrinkToFit="false"/>
      <protection locked="true" hidden="false"/>
    </xf>
    <xf numFmtId="164" fontId="15" fillId="0" borderId="8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5" fontId="9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2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4" fillId="0" borderId="6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6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10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5" fillId="0" borderId="1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1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7" fillId="0" borderId="1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1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1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2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26" fillId="2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6" fillId="2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6" fontId="26" fillId="2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6" fontId="7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7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7" fillId="4" borderId="13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27" fillId="4" borderId="14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28" fillId="5" borderId="14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6" fontId="27" fillId="4" borderId="14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5" fontId="27" fillId="4" borderId="14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27" fillId="5" borderId="15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29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29" fillId="5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9" fillId="0" borderId="16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9" fillId="0" borderId="17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5" fillId="0" borderId="17" xfId="0" applyFont="true" applyBorder="true" applyAlignment="true" applyProtection="false">
      <alignment horizontal="center" vertical="center" textRotation="0" wrapText="true" indent="0" shrinkToFit="false" readingOrder="2"/>
      <protection locked="true" hidden="false"/>
    </xf>
    <xf numFmtId="164" fontId="9" fillId="0" borderId="1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9" fillId="0" borderId="1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9" fillId="0" borderId="1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0" borderId="1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0" borderId="17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9" fillId="0" borderId="18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5" fillId="0" borderId="17" xfId="0" applyFont="true" applyBorder="true" applyAlignment="true" applyProtection="false">
      <alignment horizontal="center" vertical="center" textRotation="0" wrapText="false" indent="0" shrinkToFit="false" readingOrder="2"/>
      <protection locked="true" hidden="false"/>
    </xf>
    <xf numFmtId="164" fontId="9" fillId="0" borderId="18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5" fillId="6" borderId="17" xfId="0" applyFont="true" applyBorder="true" applyAlignment="true" applyProtection="false">
      <alignment horizontal="center" vertical="center" textRotation="0" wrapText="false" indent="0" shrinkToFit="false" readingOrder="2"/>
      <protection locked="true" hidden="false"/>
    </xf>
    <xf numFmtId="164" fontId="9" fillId="0" borderId="17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9" fillId="0" borderId="19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5" fillId="0" borderId="19" xfId="0" applyFont="true" applyBorder="true" applyAlignment="true" applyProtection="false">
      <alignment horizontal="center" vertical="center" textRotation="0" wrapText="false" indent="0" shrinkToFit="false" readingOrder="2"/>
      <protection locked="true" hidden="false"/>
    </xf>
    <xf numFmtId="164" fontId="9" fillId="0" borderId="1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9" fillId="0" borderId="1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9" fillId="0" borderId="1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0" borderId="1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0" borderId="19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9" fillId="0" borderId="20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9" fillId="0" borderId="16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9" fillId="6" borderId="17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9" fillId="0" borderId="18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27" fillId="7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7" fontId="11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11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27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7" fontId="10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center" vertical="top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center" vertical="center" textRotation="0" wrapText="false" indent="0" shrinkToFit="false" readingOrder="2"/>
      <protection locked="true" hidden="false"/>
    </xf>
    <xf numFmtId="164" fontId="9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6" fontId="9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5" fontId="9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8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30" fillId="4" borderId="17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30" fillId="4" borderId="2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8" fontId="30" fillId="4" borderId="17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31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31" fillId="5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23" fillId="0" borderId="1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3" fillId="0" borderId="17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23" fillId="0" borderId="14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23" fillId="0" borderId="14" xfId="0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69" fontId="23" fillId="0" borderId="14" xfId="0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70" fontId="23" fillId="0" borderId="14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5" fontId="23" fillId="0" borderId="14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23" fillId="0" borderId="14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23" fillId="0" borderId="17" xfId="0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67" fontId="23" fillId="0" borderId="1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23" fillId="0" borderId="17" xfId="0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70" fontId="23" fillId="0" borderId="17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23" fillId="0" borderId="17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23" fillId="0" borderId="17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23" fillId="0" borderId="17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70" fontId="23" fillId="0" borderId="17" xfId="0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65" fontId="23" fillId="0" borderId="17" xfId="0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64" fontId="32" fillId="2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8" fillId="4" borderId="13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28" fillId="4" borderId="14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6" fontId="28" fillId="4" borderId="14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33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33" fillId="5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7" fontId="11" fillId="0" borderId="1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4" fillId="0" borderId="17" xfId="0" applyFont="true" applyBorder="true" applyAlignment="true" applyProtection="false">
      <alignment horizontal="left" vertical="center" textRotation="0" wrapText="false" indent="0" shrinkToFit="false" readingOrder="1"/>
      <protection locked="true" hidden="false"/>
    </xf>
    <xf numFmtId="164" fontId="9" fillId="0" borderId="17" xfId="0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69" fontId="9" fillId="0" borderId="17" xfId="0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66" fontId="9" fillId="0" borderId="17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11" fillId="0" borderId="17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35" fillId="0" borderId="17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36" fillId="0" borderId="17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23" fillId="0" borderId="1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0" borderId="1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35" fillId="0" borderId="17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36" fillId="0" borderId="17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37" fillId="0" borderId="17" xfId="0" applyFont="true" applyBorder="true" applyAlignment="true" applyProtection="false">
      <alignment horizontal="left" vertical="center" textRotation="0" wrapText="false" indent="0" shrinkToFit="false" readingOrder="1"/>
      <protection locked="true" hidden="false"/>
    </xf>
    <xf numFmtId="164" fontId="9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left" vertical="top" textRotation="0" wrapText="false" indent="0" shrinkToFit="false"/>
      <protection locked="true" hidden="false"/>
    </xf>
    <xf numFmtId="166" fontId="9" fillId="0" borderId="0" xfId="0" applyFont="true" applyBorder="false" applyAlignment="true" applyProtection="false">
      <alignment horizontal="left" vertical="top" textRotation="0" wrapText="false" indent="0" shrinkToFit="false"/>
      <protection locked="true" hidden="false"/>
    </xf>
    <xf numFmtId="164" fontId="38" fillId="0" borderId="1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3" fillId="0" borderId="1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9" fillId="0" borderId="1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9" fillId="0" borderId="1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8" fillId="0" borderId="1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15" fillId="0" borderId="1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9" fillId="0" borderId="17" xfId="0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64" fontId="9" fillId="0" borderId="17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28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0" fontId="9" fillId="0" borderId="0" xfId="0" applyFont="true" applyBorder="false" applyAlignment="true" applyProtection="false">
      <alignment horizontal="left" vertical="top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39" fillId="0" borderId="8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40" fillId="0" borderId="8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4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1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0" fillId="3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8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2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9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3" fillId="2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44" fillId="2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4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2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3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4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0" fillId="10" borderId="2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10" borderId="1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10" borderId="2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6" fillId="11" borderId="2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0" borderId="2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47" fillId="0" borderId="1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1" fontId="9" fillId="0" borderId="17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72" fontId="9" fillId="0" borderId="2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8" fillId="0" borderId="2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8" fillId="0" borderId="1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8" fillId="0" borderId="2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3" fontId="49" fillId="0" borderId="2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9" fillId="12" borderId="17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3" fontId="50" fillId="0" borderId="2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74" fontId="49" fillId="0" borderId="2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9" fillId="13" borderId="17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4" fontId="49" fillId="0" borderId="2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9" fillId="14" borderId="26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3" fontId="50" fillId="0" borderId="27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9" fillId="0" borderId="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9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9" fillId="0" borderId="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4" fontId="49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4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3" fontId="50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51" fillId="0" borderId="1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2" fontId="51" fillId="6" borderId="2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39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0" fillId="7" borderId="29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52" fillId="7" borderId="3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52" fillId="7" borderId="3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5" fontId="9" fillId="0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4" fontId="53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4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5" fillId="15" borderId="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5" fillId="16" borderId="1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6" fillId="0" borderId="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5" fillId="0" borderId="17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7" fillId="0" borderId="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8" fillId="0" borderId="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0" borderId="17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8" fillId="0" borderId="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15" fillId="0" borderId="3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7" borderId="18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5" fillId="7" borderId="3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5" fillId="7" borderId="16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2" fontId="15" fillId="15" borderId="3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5" fillId="16" borderId="1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3" fillId="0" borderId="5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23" fillId="0" borderId="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9" fillId="15" borderId="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15" fillId="15" borderId="3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0" fillId="16" borderId="1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5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15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58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12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72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39" fillId="0" borderId="1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39" fillId="0" borderId="1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2" fontId="39" fillId="0" borderId="1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3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33" fillId="0" borderId="1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8" fillId="0" borderId="1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39" fillId="0" borderId="1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61" fillId="0" borderId="33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61" fillId="0" borderId="33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7" fontId="4" fillId="0" borderId="34" xfId="0" applyFont="true" applyBorder="true" applyAlignment="true" applyProtection="false">
      <alignment horizontal="general" vertical="bottom" textRotation="0" wrapText="false" indent="0" shrinkToFit="false"/>
      <protection locked="true" hidden="false"/>
    </xf>
  </cellXfs>
  <cellStyles count="8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Normal 2" xfId="20"/>
    <cellStyle name="Normal 2 2" xfId="21"/>
  </cellStyles>
  <dxfs count="23">
    <dxf>
      <fill>
        <patternFill>
          <bgColor theme="0" tint="-0.25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0070C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 patternType="solid">
          <fgColor rgb="FFED7D31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A9D18E"/>
          <bgColor rgb="FF000000"/>
        </patternFill>
      </fill>
    </dxf>
    <dxf>
      <fill>
        <patternFill patternType="solid">
          <fgColor rgb="FF0070C0"/>
          <bgColor rgb="FF000000"/>
        </patternFill>
      </fill>
    </dxf>
    <dxf>
      <fill>
        <patternFill patternType="solid">
          <fgColor rgb="FFC6EFCE"/>
          <bgColor rgb="FF000000"/>
        </patternFill>
      </fill>
    </dxf>
    <dxf>
      <fill>
        <patternFill patternType="solid">
          <fgColor rgb="FFFFC7CE"/>
          <bgColor rgb="FF000000"/>
        </patternFill>
      </fill>
    </dxf>
    <dxf>
      <fill>
        <patternFill patternType="solid">
          <fgColor rgb="FF006100"/>
          <bgColor rgb="FF000000"/>
        </patternFill>
      </fill>
    </dxf>
    <dxf>
      <fill>
        <patternFill patternType="solid">
          <fgColor rgb="FF9C0006"/>
          <bgColor rgb="FF000000"/>
        </patternFill>
      </fill>
    </dxf>
    <dxf>
      <fill>
        <patternFill>
          <bgColor rgb="FFFFFF00"/>
        </patternFill>
      </fill>
    </dxf>
    <dxf>
      <fill>
        <patternFill patternType="solid">
          <fgColor rgb="FFBFBFBF"/>
          <bgColor rgb="FF000000"/>
        </patternFill>
      </fill>
    </dxf>
    <dxf>
      <fill>
        <patternFill patternType="solid">
          <fgColor rgb="FF3F3F3F"/>
          <bgColor rgb="FF000000"/>
        </patternFill>
      </fill>
    </dxf>
    <dxf>
      <fill>
        <patternFill patternType="solid">
          <fgColor rgb="FFFF0000"/>
          <bgColor rgb="FF0000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theme="7"/>
        </patternFill>
      </fill>
    </dxf>
    <dxf>
      <fill>
        <patternFill>
          <bgColor theme="5" tint="0.3999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6100"/>
      <rgbColor rgb="FF000080"/>
      <rgbColor rgb="FF808000"/>
      <rgbColor rgb="FF800080"/>
      <rgbColor rgb="FF008658"/>
      <rgbColor rgb="FFBFBFBF"/>
      <rgbColor rgb="FF92804C"/>
      <rgbColor rgb="FFD9D9D9"/>
      <rgbColor rgb="FF993366"/>
      <rgbColor rgb="FFFFF2CC"/>
      <rgbColor rgb="FFC8E6D9"/>
      <rgbColor rgb="FF660066"/>
      <rgbColor rgb="FFFF5050"/>
      <rgbColor rgb="FF0563C1"/>
      <rgbColor rgb="FFD6DCE5"/>
      <rgbColor rgb="FF000080"/>
      <rgbColor rgb="FFFF00FF"/>
      <rgbColor rgb="FFFFFF00"/>
      <rgbColor rgb="FF00FFFF"/>
      <rgbColor rgb="FF800080"/>
      <rgbColor rgb="FF800000"/>
      <rgbColor rgb="FF0070C0"/>
      <rgbColor rgb="FF0000FF"/>
      <rgbColor rgb="FF00CCFF"/>
      <rgbColor rgb="FFFEF2EC"/>
      <rgbColor rgb="FFC6EFCE"/>
      <rgbColor rgb="FFFBE5D6"/>
      <rgbColor rgb="FFA9D18E"/>
      <rgbColor rgb="FFF4B183"/>
      <rgbColor rgb="FFFFC7CE"/>
      <rgbColor rgb="FFF8CBAD"/>
      <rgbColor rgb="FF4472C4"/>
      <rgbColor rgb="FF33CCCC"/>
      <rgbColor rgb="FF99CC00"/>
      <rgbColor rgb="FFFFC000"/>
      <rgbColor rgb="FFFF9900"/>
      <rgbColor rgb="FFED7D31"/>
      <rgbColor rgb="FF666699"/>
      <rgbColor rgb="FF969696"/>
      <rgbColor rgb="FF003366"/>
      <rgbColor rgb="FF00B050"/>
      <rgbColor rgb="FF003300"/>
      <rgbColor rgb="FF262626"/>
      <rgbColor rgb="FFC55A11"/>
      <rgbColor rgb="FF993366"/>
      <rgbColor rgb="FF3F3F3F"/>
      <rgbColor rgb="FF3B3838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worksheet" Target="worksheets/sheet15.xml"/><Relationship Id="rId18" Type="http://schemas.openxmlformats.org/officeDocument/2006/relationships/worksheet" Target="worksheets/sheet16.xml"/><Relationship Id="rId19" Type="http://schemas.openxmlformats.org/officeDocument/2006/relationships/worksheet" Target="worksheets/sheet17.xml"/><Relationship Id="rId20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ables/table1.xml><?xml version="1.0" encoding="utf-8"?>
<table xmlns="http://schemas.openxmlformats.org/spreadsheetml/2006/main" id="1" name="initiatives_t" displayName="initiatives_t" ref="A4:L17" headerRowCount="1" totalsRowCount="0" totalsRowShown="0">
  <tableColumns count="12">
    <tableColumn id="1" name="S No."/>
    <tableColumn id="2" name="Name"/>
    <tableColumn id="3" name="Description"/>
    <tableColumn id="4" name="Department"/>
    <tableColumn id="5" name="Start Date"/>
    <tableColumn id="6" name="Due Date"/>
    <tableColumn id="7" name="Completion %"/>
    <tableColumn id="8" name="Status"/>
    <tableColumn id="9" name="Priority"/>
    <tableColumn id="10" name="Primary Owner"/>
    <tableColumn id="11" name="Secondary Owner"/>
    <tableColumn id="12" name="Comments"/>
  </tableColumns>
</table>
</file>

<file path=xl/tables/table2.xml><?xml version="1.0" encoding="utf-8"?>
<table xmlns="http://schemas.openxmlformats.org/spreadsheetml/2006/main" id="2" name="Meetings_final" displayName="Meetings_final" ref="A5:J27" headerRowCount="1" totalsRowCount="0" totalsRowShown="0">
  <tableColumns count="10">
    <tableColumn id="1" name="S No."/>
    <tableColumn id="2" name="Meeting Name"/>
    <tableColumn id="3" name="Purpose"/>
    <tableColumn id="4" name="Type of Meeting"/>
    <tableColumn id="5" name="Department"/>
    <tableColumn id="6" name="Frequency"/>
    <tableColumn id="7" name="Schedule"/>
    <tableColumn id="8" name="Status - (For current week)"/>
    <tableColumn id="9" name="Organizer"/>
    <tableColumn id="10" name="Comments"/>
  </tableColumns>
</table>
</file>

<file path=xl/tables/table3.xml><?xml version="1.0" encoding="utf-8"?>
<table xmlns="http://schemas.openxmlformats.org/spreadsheetml/2006/main" id="3" name="Reports_Status" displayName="Reports_Status" ref="A4:L33" headerRowCount="1" totalsRowCount="0" totalsRowShown="0">
  <tableColumns count="12">
    <tableColumn id="1" name="S No."/>
    <tableColumn id="2" name="Name"/>
    <tableColumn id="3" name="Purpose"/>
    <tableColumn id="4" name="Frequency"/>
    <tableColumn id="5" name="Department"/>
    <tableColumn id="6" name="Start Date"/>
    <tableColumn id="7" name="Due Date"/>
    <tableColumn id="8" name="Status"/>
    <tableColumn id="9" name="Priority"/>
    <tableColumn id="10" name="Primary Owner"/>
    <tableColumn id="11" name="Secondary Owner"/>
    <tableColumn id="12" name="Comments"/>
  </tableColumns>
</table>
</file>

<file path=xl/tables/table4.xml><?xml version="1.0" encoding="utf-8"?>
<table xmlns="http://schemas.openxmlformats.org/spreadsheetml/2006/main" id="4" name="Task_Tracker" displayName="Task_Tracker" ref="A4:N816" headerRowCount="1" totalsRowCount="0" totalsRowShown="0">
  <autoFilter ref="A4:N816"/>
  <tableColumns count="14">
    <tableColumn id="1" name="S No."/>
    <tableColumn id="2" name="Source"/>
    <tableColumn id="3" name="Description"/>
    <tableColumn id="4" name="Department"/>
    <tableColumn id="5" name="Start Date"/>
    <tableColumn id="6" name="Due Date"/>
    <tableColumn id="7" name="Completion %"/>
    <tableColumn id="8" name="Status"/>
    <tableColumn id="9" name="Priority"/>
    <tableColumn id="10" name="Task Owner"/>
    <tableColumn id="11" name="Secondery Owner"/>
    <tableColumn id="12" name="Under P&amp;A Scope? (Y/N)"/>
    <tableColumn id="13" name="If 'No', Specify Responsible Owner"/>
    <tableColumn id="14" name="Comments"/>
  </tableColumns>
</table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3.xml.rels><?xml version="1.0" encoding="UTF-8"?>
<Relationships xmlns="http://schemas.openxmlformats.org/package/2006/relationships"><Relationship Id="rId1" Type="http://schemas.openxmlformats.org/officeDocument/2006/relationships/table" Target="../tables/table4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table" Target="../tables/table1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table" Target="../tables/table3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table" Target="../tables/table2.xml"/>
</Relationships>
</file>

<file path=xl/worksheets/_rels/sheet15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D4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5" activeCellId="0" sqref="B5"/>
    </sheetView>
  </sheetViews>
  <sheetFormatPr defaultColWidth="8.6796875" defaultRowHeight="15" zeroHeight="false" outlineLevelRow="0" outlineLevelCol="0"/>
  <cols>
    <col collapsed="false" customWidth="true" hidden="false" outlineLevel="0" max="2" min="2" style="1" width="17.49"/>
  </cols>
  <sheetData>
    <row r="1" customFormat="false" ht="18.75" hidden="false" customHeight="true" outlineLevel="0" collapsed="false">
      <c r="B1" s="2" t="s">
        <v>0</v>
      </c>
    </row>
    <row r="2" customFormat="false" ht="18.75" hidden="false" customHeight="true" outlineLevel="0" collapsed="false">
      <c r="B2" s="2" t="s">
        <v>1</v>
      </c>
    </row>
    <row r="3" customFormat="false" ht="18.75" hidden="false" customHeight="true" outlineLevel="0" collapsed="false">
      <c r="B3" s="2" t="s">
        <v>2</v>
      </c>
      <c r="D3" s="3" t="s">
        <v>3</v>
      </c>
    </row>
    <row r="4" customFormat="false" ht="18.75" hidden="false" customHeight="true" outlineLevel="0" collapsed="false">
      <c r="B4" s="2" t="s">
        <v>4</v>
      </c>
    </row>
    <row r="5" customFormat="false" ht="18.75" hidden="false" customHeight="true" outlineLevel="0" collapsed="false">
      <c r="B5" s="2"/>
    </row>
    <row r="6" customFormat="false" ht="18.75" hidden="false" customHeight="true" outlineLevel="0" collapsed="false">
      <c r="B6" s="2"/>
    </row>
    <row r="7" customFormat="false" ht="18.75" hidden="false" customHeight="true" outlineLevel="0" collapsed="false">
      <c r="B7" s="2"/>
    </row>
    <row r="9" customFormat="false" ht="18.75" hidden="false" customHeight="true" outlineLevel="0" collapsed="false">
      <c r="B9" s="2" t="s">
        <v>5</v>
      </c>
    </row>
    <row r="10" customFormat="false" ht="18.75" hidden="false" customHeight="true" outlineLevel="0" collapsed="false">
      <c r="B10" s="2" t="s">
        <v>6</v>
      </c>
      <c r="D10" s="3" t="s">
        <v>7</v>
      </c>
    </row>
    <row r="11" customFormat="false" ht="18.75" hidden="false" customHeight="true" outlineLevel="0" collapsed="false">
      <c r="B11" s="2" t="s">
        <v>8</v>
      </c>
    </row>
    <row r="12" customFormat="false" ht="18.75" hidden="false" customHeight="true" outlineLevel="0" collapsed="false">
      <c r="B12" s="2" t="s">
        <v>9</v>
      </c>
    </row>
    <row r="15" customFormat="false" ht="18.75" hidden="false" customHeight="true" outlineLevel="0" collapsed="false">
      <c r="B15" s="1" t="s">
        <v>10</v>
      </c>
    </row>
    <row r="16" customFormat="false" ht="18.75" hidden="false" customHeight="true" outlineLevel="0" collapsed="false">
      <c r="B16" s="1" t="s">
        <v>11</v>
      </c>
      <c r="D16" s="3" t="s">
        <v>12</v>
      </c>
    </row>
    <row r="17" customFormat="false" ht="18.75" hidden="false" customHeight="true" outlineLevel="0" collapsed="false">
      <c r="B17" s="1" t="s">
        <v>13</v>
      </c>
    </row>
    <row r="18" customFormat="false" ht="18.75" hidden="false" customHeight="true" outlineLevel="0" collapsed="false">
      <c r="B18" s="1" t="s">
        <v>14</v>
      </c>
    </row>
    <row r="20" customFormat="false" ht="18.75" hidden="false" customHeight="true" outlineLevel="0" collapsed="false">
      <c r="B20" s="1" t="s">
        <v>15</v>
      </c>
    </row>
    <row r="21" customFormat="false" ht="18.75" hidden="false" customHeight="true" outlineLevel="0" collapsed="false">
      <c r="B21" s="1" t="s">
        <v>16</v>
      </c>
      <c r="D21" s="3" t="s">
        <v>17</v>
      </c>
    </row>
    <row r="22" customFormat="false" ht="18.75" hidden="false" customHeight="true" outlineLevel="0" collapsed="false">
      <c r="B22" s="1" t="s">
        <v>18</v>
      </c>
    </row>
    <row r="23" customFormat="false" ht="18.75" hidden="false" customHeight="true" outlineLevel="0" collapsed="false">
      <c r="B23" s="1" t="s">
        <v>19</v>
      </c>
    </row>
    <row r="25" customFormat="false" ht="18.75" hidden="false" customHeight="true" outlineLevel="0" collapsed="false">
      <c r="B25" s="1" t="s">
        <v>20</v>
      </c>
    </row>
    <row r="26" customFormat="false" ht="18.75" hidden="false" customHeight="true" outlineLevel="0" collapsed="false">
      <c r="B26" s="1" t="s">
        <v>21</v>
      </c>
      <c r="D26" s="3" t="s">
        <v>22</v>
      </c>
    </row>
    <row r="27" customFormat="false" ht="18.75" hidden="false" customHeight="true" outlineLevel="0" collapsed="false">
      <c r="B27" s="1" t="s">
        <v>23</v>
      </c>
    </row>
    <row r="28" customFormat="false" ht="18.75" hidden="false" customHeight="true" outlineLevel="0" collapsed="false">
      <c r="B28" s="1" t="s">
        <v>24</v>
      </c>
    </row>
    <row r="30" customFormat="false" ht="18.75" hidden="false" customHeight="true" outlineLevel="0" collapsed="false">
      <c r="B30" s="1" t="s">
        <v>25</v>
      </c>
    </row>
    <row r="31" customFormat="false" ht="18.75" hidden="false" customHeight="true" outlineLevel="0" collapsed="false">
      <c r="B31" s="1" t="s">
        <v>26</v>
      </c>
      <c r="D31" s="3" t="s">
        <v>27</v>
      </c>
    </row>
    <row r="36" customFormat="false" ht="18.75" hidden="false" customHeight="true" outlineLevel="0" collapsed="false">
      <c r="B36" s="1" t="s">
        <v>28</v>
      </c>
    </row>
    <row r="37" customFormat="false" ht="18.75" hidden="false" customHeight="true" outlineLevel="0" collapsed="false">
      <c r="B37" s="1" t="s">
        <v>29</v>
      </c>
    </row>
    <row r="44" customFormat="false" ht="18.75" hidden="false" customHeight="true" outlineLevel="0" collapsed="false">
      <c r="B44" s="1" t="s">
        <v>30</v>
      </c>
    </row>
    <row r="45" customFormat="false" ht="18.75" hidden="false" customHeight="true" outlineLevel="0" collapsed="false">
      <c r="B45" s="1" t="s">
        <v>31</v>
      </c>
    </row>
    <row r="46" customFormat="false" ht="18.75" hidden="false" customHeight="true" outlineLevel="0" collapsed="false">
      <c r="B46" s="1" t="s">
        <v>32</v>
      </c>
      <c r="D46" s="3" t="s">
        <v>33</v>
      </c>
    </row>
    <row r="47" customFormat="false" ht="18.75" hidden="false" customHeight="true" outlineLevel="0" collapsed="false">
      <c r="B47" s="1" t="s">
        <v>34</v>
      </c>
    </row>
    <row r="48" customFormat="false" ht="18.75" hidden="false" customHeight="true" outlineLevel="0" collapsed="false">
      <c r="B48" s="1" t="s">
        <v>35</v>
      </c>
    </row>
    <row r="49" customFormat="false" ht="18.75" hidden="false" customHeight="true" outlineLevel="0" collapsed="false">
      <c r="B49" s="1" t="s">
        <v>36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070C0"/>
    <pageSetUpPr fitToPage="false"/>
  </sheetPr>
  <dimension ref="B1:N50"/>
  <sheetViews>
    <sheetView showFormulas="false" showGridLines="false" showRowColHeaders="true" showZeros="true" rightToLeft="false" tabSelected="false" showOutlineSymbols="true" defaultGridColor="true" view="normal" topLeftCell="A1" colorId="64" zoomScale="90" zoomScaleNormal="90" zoomScalePageLayoutView="100" workbookViewId="0">
      <selection pane="topLeft" activeCell="Q5" activeCellId="0" sqref="Q5"/>
    </sheetView>
  </sheetViews>
  <sheetFormatPr defaultColWidth="8.6796875" defaultRowHeight="15" zeroHeight="false" outlineLevelRow="0" outlineLevelCol="0"/>
  <cols>
    <col collapsed="false" customWidth="true" hidden="false" outlineLevel="0" max="1" min="1" style="3" width="2.69"/>
    <col collapsed="false" customWidth="true" hidden="false" outlineLevel="0" max="2" min="2" style="3" width="2.96"/>
    <col collapsed="false" customWidth="true" hidden="false" outlineLevel="0" max="3" min="3" style="3" width="13.34"/>
    <col collapsed="false" customWidth="true" hidden="false" outlineLevel="0" max="12" min="12" style="3" width="13.18"/>
    <col collapsed="false" customWidth="true" hidden="false" outlineLevel="0" max="13" min="13" style="3" width="38.33"/>
    <col collapsed="false" customWidth="true" hidden="false" outlineLevel="0" max="51" min="14" style="3" width="8.87"/>
  </cols>
  <sheetData>
    <row r="1" customFormat="false" ht="28.5" hidden="false" customHeight="true" outlineLevel="0" collapsed="false">
      <c r="B1" s="4" t="s">
        <v>37</v>
      </c>
      <c r="C1" s="4"/>
      <c r="D1" s="4"/>
      <c r="E1" s="4"/>
      <c r="F1" s="4"/>
      <c r="G1" s="4"/>
      <c r="H1" s="4"/>
      <c r="I1" s="4"/>
      <c r="J1" s="4"/>
      <c r="K1" s="4"/>
      <c r="L1" s="5"/>
      <c r="M1" s="6"/>
    </row>
    <row r="2" customFormat="false" ht="21" hidden="false" customHeight="true" outlineLevel="0" collapsed="false">
      <c r="B2" s="7" t="s">
        <v>38</v>
      </c>
      <c r="C2" s="8"/>
      <c r="D2" s="8"/>
      <c r="E2" s="8"/>
      <c r="F2" s="9"/>
      <c r="G2" s="10"/>
      <c r="H2" s="9"/>
      <c r="I2" s="9"/>
      <c r="J2" s="9"/>
      <c r="K2" s="9"/>
      <c r="L2" s="9"/>
      <c r="M2" s="6"/>
    </row>
    <row r="3" customFormat="false" ht="15" hidden="false" customHeight="true" outlineLevel="0" collapsed="false">
      <c r="B3" s="11"/>
      <c r="M3" s="12"/>
    </row>
    <row r="4" s="13" customFormat="true" ht="24.75" hidden="false" customHeight="true" outlineLevel="0" collapsed="false">
      <c r="B4" s="14" t="s">
        <v>39</v>
      </c>
      <c r="C4" s="15" t="s">
        <v>40</v>
      </c>
      <c r="D4" s="16"/>
      <c r="E4" s="16"/>
      <c r="F4" s="16"/>
      <c r="G4" s="16"/>
      <c r="H4" s="16"/>
      <c r="I4" s="16"/>
      <c r="J4" s="16"/>
      <c r="K4" s="16"/>
      <c r="L4" s="16"/>
      <c r="M4" s="17"/>
    </row>
    <row r="5" s="13" customFormat="true" ht="21.75" hidden="false" customHeight="true" outlineLevel="0" collapsed="false">
      <c r="B5" s="18"/>
      <c r="C5" s="19" t="s">
        <v>41</v>
      </c>
      <c r="M5" s="20"/>
    </row>
    <row r="6" s="13" customFormat="true" ht="21.75" hidden="false" customHeight="true" outlineLevel="0" collapsed="false">
      <c r="B6" s="18"/>
      <c r="C6" s="21" t="s">
        <v>42</v>
      </c>
      <c r="M6" s="20"/>
    </row>
    <row r="7" s="13" customFormat="true" ht="21.75" hidden="false" customHeight="true" outlineLevel="0" collapsed="false">
      <c r="B7" s="18"/>
      <c r="C7" s="21" t="s">
        <v>43</v>
      </c>
      <c r="M7" s="20"/>
    </row>
    <row r="8" s="13" customFormat="true" ht="10.5" hidden="false" customHeight="true" outlineLevel="0" collapsed="false">
      <c r="B8" s="18"/>
      <c r="M8" s="20"/>
    </row>
    <row r="9" s="13" customFormat="true" ht="24.75" hidden="false" customHeight="true" outlineLevel="0" collapsed="false">
      <c r="B9" s="14" t="s">
        <v>44</v>
      </c>
      <c r="C9" s="15" t="s">
        <v>45</v>
      </c>
      <c r="D9" s="22"/>
      <c r="E9" s="16"/>
      <c r="F9" s="16"/>
      <c r="G9" s="16"/>
      <c r="H9" s="16"/>
      <c r="I9" s="16"/>
      <c r="J9" s="16"/>
      <c r="K9" s="16"/>
      <c r="L9" s="16"/>
      <c r="M9" s="17"/>
    </row>
    <row r="10" customFormat="false" ht="20.25" hidden="false" customHeight="true" outlineLevel="0" collapsed="false">
      <c r="B10" s="11"/>
      <c r="C10" s="23" t="s">
        <v>46</v>
      </c>
      <c r="D10" s="24" t="s">
        <v>47</v>
      </c>
      <c r="E10" s="24"/>
      <c r="F10" s="24"/>
      <c r="G10" s="24"/>
      <c r="H10" s="24"/>
      <c r="I10" s="24"/>
      <c r="J10" s="24"/>
      <c r="K10" s="24"/>
      <c r="L10" s="24"/>
      <c r="M10" s="12"/>
      <c r="N10" s="25"/>
    </row>
    <row r="11" customFormat="false" ht="20.25" hidden="false" customHeight="true" outlineLevel="0" collapsed="false">
      <c r="B11" s="11"/>
      <c r="C11" s="26"/>
      <c r="D11" s="24"/>
      <c r="E11" s="24"/>
      <c r="F11" s="24"/>
      <c r="G11" s="24"/>
      <c r="H11" s="24"/>
      <c r="I11" s="24"/>
      <c r="J11" s="24"/>
      <c r="K11" s="24"/>
      <c r="L11" s="24"/>
      <c r="M11" s="12"/>
      <c r="N11" s="25"/>
    </row>
    <row r="12" customFormat="false" ht="24.75" hidden="false" customHeight="true" outlineLevel="0" collapsed="false">
      <c r="B12" s="11"/>
      <c r="D12" s="27" t="s">
        <v>48</v>
      </c>
      <c r="E12" s="28"/>
      <c r="F12" s="28"/>
      <c r="G12" s="28"/>
      <c r="H12" s="28"/>
      <c r="I12" s="28"/>
      <c r="J12" s="28"/>
      <c r="K12" s="28"/>
      <c r="M12" s="29" t="s">
        <v>49</v>
      </c>
      <c r="N12" s="1"/>
    </row>
    <row r="13" customFormat="false" ht="22.5" hidden="false" customHeight="true" outlineLevel="0" collapsed="false">
      <c r="B13" s="11"/>
      <c r="D13" s="27" t="s">
        <v>50</v>
      </c>
      <c r="E13" s="28"/>
      <c r="F13" s="28"/>
      <c r="G13" s="28"/>
      <c r="H13" s="28"/>
      <c r="I13" s="28"/>
      <c r="J13" s="28"/>
      <c r="K13" s="28"/>
      <c r="M13" s="30" t="s">
        <v>51</v>
      </c>
      <c r="N13" s="1"/>
    </row>
    <row r="14" customFormat="false" ht="22.5" hidden="false" customHeight="true" outlineLevel="0" collapsed="false">
      <c r="B14" s="11"/>
      <c r="D14" s="27" t="s">
        <v>52</v>
      </c>
      <c r="E14" s="28"/>
      <c r="F14" s="28"/>
      <c r="G14" s="28"/>
      <c r="H14" s="28"/>
      <c r="I14" s="28"/>
      <c r="J14" s="28"/>
      <c r="K14" s="28"/>
      <c r="M14" s="30" t="s">
        <v>53</v>
      </c>
      <c r="N14" s="1"/>
    </row>
    <row r="15" customFormat="false" ht="22.5" hidden="false" customHeight="true" outlineLevel="0" collapsed="false">
      <c r="B15" s="11"/>
      <c r="D15" s="27" t="s">
        <v>54</v>
      </c>
      <c r="E15" s="28"/>
      <c r="F15" s="28"/>
      <c r="G15" s="28"/>
      <c r="H15" s="28"/>
      <c r="I15" s="28"/>
      <c r="J15" s="28"/>
      <c r="K15" s="28"/>
      <c r="M15" s="30" t="s">
        <v>55</v>
      </c>
      <c r="N15" s="1"/>
    </row>
    <row r="16" customFormat="false" ht="22.5" hidden="false" customHeight="true" outlineLevel="0" collapsed="false">
      <c r="B16" s="11"/>
      <c r="D16" s="27" t="s">
        <v>56</v>
      </c>
      <c r="E16" s="28"/>
      <c r="F16" s="28"/>
      <c r="G16" s="28"/>
      <c r="H16" s="28"/>
      <c r="I16" s="28"/>
      <c r="J16" s="28"/>
      <c r="K16" s="28"/>
      <c r="M16" s="30" t="s">
        <v>57</v>
      </c>
      <c r="N16" s="1"/>
    </row>
    <row r="17" customFormat="false" ht="22.5" hidden="false" customHeight="true" outlineLevel="0" collapsed="false">
      <c r="B17" s="11"/>
      <c r="D17" s="27" t="s">
        <v>58</v>
      </c>
      <c r="E17" s="28"/>
      <c r="F17" s="28"/>
      <c r="G17" s="28"/>
      <c r="H17" s="28"/>
      <c r="I17" s="28"/>
      <c r="J17" s="28"/>
      <c r="K17" s="28"/>
      <c r="M17" s="30" t="s">
        <v>59</v>
      </c>
      <c r="N17" s="1"/>
    </row>
    <row r="18" customFormat="false" ht="16.5" hidden="false" customHeight="true" outlineLevel="0" collapsed="false">
      <c r="B18" s="11"/>
      <c r="D18" s="31"/>
      <c r="E18" s="28"/>
      <c r="F18" s="28"/>
      <c r="G18" s="28"/>
      <c r="H18" s="28"/>
      <c r="I18" s="28"/>
      <c r="J18" s="28"/>
      <c r="K18" s="28"/>
      <c r="M18" s="30"/>
      <c r="N18" s="1"/>
    </row>
    <row r="19" customFormat="false" ht="24" hidden="false" customHeight="true" outlineLevel="0" collapsed="false">
      <c r="B19" s="11"/>
      <c r="C19" s="23" t="s">
        <v>60</v>
      </c>
      <c r="D19" s="32" t="s">
        <v>61</v>
      </c>
      <c r="F19" s="33"/>
      <c r="G19" s="33"/>
      <c r="H19" s="33"/>
      <c r="I19" s="33"/>
      <c r="J19" s="33"/>
      <c r="K19" s="33"/>
      <c r="M19" s="12"/>
      <c r="N19" s="25"/>
    </row>
    <row r="20" s="13" customFormat="true" ht="21.75" hidden="false" customHeight="true" outlineLevel="0" collapsed="false">
      <c r="B20" s="18"/>
      <c r="M20" s="20"/>
    </row>
    <row r="21" s="13" customFormat="true" ht="24.75" hidden="false" customHeight="true" outlineLevel="0" collapsed="false">
      <c r="B21" s="14" t="s">
        <v>62</v>
      </c>
      <c r="C21" s="15" t="s">
        <v>63</v>
      </c>
      <c r="D21" s="16"/>
      <c r="E21" s="16"/>
      <c r="F21" s="16"/>
      <c r="G21" s="16"/>
      <c r="H21" s="16"/>
      <c r="I21" s="16"/>
      <c r="J21" s="16"/>
      <c r="K21" s="16"/>
      <c r="L21" s="16"/>
      <c r="M21" s="17"/>
    </row>
    <row r="22" s="13" customFormat="true" ht="21.75" hidden="false" customHeight="true" outlineLevel="0" collapsed="false">
      <c r="B22" s="18"/>
      <c r="C22" s="19" t="s">
        <v>64</v>
      </c>
      <c r="M22" s="20"/>
    </row>
    <row r="23" s="13" customFormat="true" ht="21.75" hidden="false" customHeight="true" outlineLevel="0" collapsed="false">
      <c r="B23" s="18"/>
      <c r="C23" s="34" t="s">
        <v>65</v>
      </c>
      <c r="M23" s="20"/>
    </row>
    <row r="24" s="13" customFormat="true" ht="21.75" hidden="false" customHeight="true" outlineLevel="0" collapsed="false">
      <c r="B24" s="18"/>
      <c r="C24" s="13" t="s">
        <v>66</v>
      </c>
      <c r="M24" s="20"/>
    </row>
    <row r="25" s="13" customFormat="true" ht="21.75" hidden="false" customHeight="true" outlineLevel="0" collapsed="false">
      <c r="B25" s="18"/>
      <c r="C25" s="35" t="s">
        <v>67</v>
      </c>
      <c r="M25" s="20"/>
    </row>
    <row r="26" s="13" customFormat="true" ht="21.75" hidden="false" customHeight="true" outlineLevel="0" collapsed="false">
      <c r="B26" s="18"/>
      <c r="C26" s="36" t="s">
        <v>68</v>
      </c>
      <c r="M26" s="20"/>
    </row>
    <row r="27" s="13" customFormat="true" ht="21.75" hidden="false" customHeight="true" outlineLevel="0" collapsed="false">
      <c r="B27" s="18"/>
      <c r="C27" s="35" t="s">
        <v>69</v>
      </c>
      <c r="M27" s="20"/>
    </row>
    <row r="28" s="13" customFormat="true" ht="21.75" hidden="false" customHeight="true" outlineLevel="0" collapsed="false">
      <c r="B28" s="18"/>
      <c r="C28" s="36" t="s">
        <v>70</v>
      </c>
      <c r="M28" s="20"/>
    </row>
    <row r="29" s="37" customFormat="true" ht="22.5" hidden="false" customHeight="true" outlineLevel="0" collapsed="false">
      <c r="B29" s="38"/>
      <c r="C29" s="39" t="s">
        <v>71</v>
      </c>
      <c r="M29" s="40"/>
    </row>
    <row r="30" s="37" customFormat="true" ht="22.5" hidden="false" customHeight="true" outlineLevel="0" collapsed="false">
      <c r="B30" s="38"/>
      <c r="C30" s="41" t="s">
        <v>72</v>
      </c>
      <c r="D30" s="13"/>
      <c r="E30" s="13"/>
      <c r="M30" s="40"/>
    </row>
    <row r="31" s="37" customFormat="true" ht="22.5" hidden="false" customHeight="true" outlineLevel="0" collapsed="false">
      <c r="B31" s="38"/>
      <c r="C31" s="41" t="s">
        <v>73</v>
      </c>
      <c r="D31" s="13"/>
      <c r="E31" s="13"/>
      <c r="M31" s="40"/>
    </row>
    <row r="32" s="13" customFormat="true" ht="21.75" hidden="false" customHeight="true" outlineLevel="0" collapsed="false">
      <c r="B32" s="18"/>
      <c r="C32" s="42"/>
      <c r="M32" s="20"/>
    </row>
    <row r="33" s="13" customFormat="true" ht="24.75" hidden="false" customHeight="true" outlineLevel="0" collapsed="false">
      <c r="B33" s="14" t="s">
        <v>74</v>
      </c>
      <c r="C33" s="15" t="s">
        <v>75</v>
      </c>
      <c r="D33" s="22"/>
      <c r="E33" s="16"/>
      <c r="F33" s="16"/>
      <c r="G33" s="16"/>
      <c r="H33" s="16"/>
      <c r="I33" s="16"/>
      <c r="J33" s="16"/>
      <c r="K33" s="16"/>
      <c r="L33" s="16"/>
      <c r="M33" s="17"/>
    </row>
    <row r="34" s="13" customFormat="true" ht="21.75" hidden="false" customHeight="true" outlineLevel="0" collapsed="false">
      <c r="B34" s="18"/>
      <c r="C34" s="13" t="s">
        <v>76</v>
      </c>
      <c r="M34" s="20"/>
    </row>
    <row r="35" s="13" customFormat="true" ht="21.75" hidden="false" customHeight="true" outlineLevel="0" collapsed="false">
      <c r="B35" s="18"/>
      <c r="C35" s="43" t="s">
        <v>77</v>
      </c>
      <c r="D35" s="43" t="s">
        <v>78</v>
      </c>
      <c r="M35" s="20"/>
    </row>
    <row r="36" s="13" customFormat="true" ht="21.75" hidden="false" customHeight="true" outlineLevel="0" collapsed="false">
      <c r="B36" s="18"/>
      <c r="C36" s="44" t="s">
        <v>79</v>
      </c>
      <c r="D36" s="45" t="n">
        <v>0.5</v>
      </c>
      <c r="M36" s="20"/>
    </row>
    <row r="37" s="13" customFormat="true" ht="17.25" hidden="false" customHeight="true" outlineLevel="0" collapsed="false">
      <c r="B37" s="18"/>
      <c r="C37" s="44" t="s">
        <v>50</v>
      </c>
      <c r="D37" s="45" t="n">
        <v>0.2</v>
      </c>
      <c r="M37" s="20"/>
    </row>
    <row r="38" s="13" customFormat="true" ht="21.75" hidden="false" customHeight="true" outlineLevel="0" collapsed="false">
      <c r="B38" s="18"/>
      <c r="C38" s="44" t="s">
        <v>52</v>
      </c>
      <c r="D38" s="45" t="n">
        <v>0.2</v>
      </c>
      <c r="M38" s="20"/>
    </row>
    <row r="39" s="13" customFormat="true" ht="21.75" hidden="false" customHeight="true" outlineLevel="0" collapsed="false">
      <c r="B39" s="18"/>
      <c r="C39" s="44" t="s">
        <v>80</v>
      </c>
      <c r="D39" s="45" t="n">
        <v>0.1</v>
      </c>
      <c r="M39" s="20"/>
    </row>
    <row r="40" customFormat="false" ht="21.75" hidden="false" customHeight="true" outlineLevel="0" collapsed="false">
      <c r="B40" s="11"/>
      <c r="C40" s="26"/>
      <c r="D40" s="46"/>
      <c r="F40" s="33"/>
      <c r="G40" s="33"/>
      <c r="H40" s="33"/>
      <c r="I40" s="33"/>
      <c r="J40" s="33"/>
      <c r="K40" s="46"/>
      <c r="L40" s="25"/>
      <c r="M40" s="47"/>
      <c r="N40" s="25"/>
    </row>
    <row r="41" s="13" customFormat="true" ht="24.75" hidden="false" customHeight="true" outlineLevel="0" collapsed="false">
      <c r="B41" s="14" t="s">
        <v>81</v>
      </c>
      <c r="C41" s="15" t="s">
        <v>82</v>
      </c>
      <c r="D41" s="22"/>
      <c r="E41" s="16"/>
      <c r="F41" s="16"/>
      <c r="G41" s="16"/>
      <c r="H41" s="16"/>
      <c r="I41" s="16"/>
      <c r="J41" s="16"/>
      <c r="K41" s="16"/>
      <c r="L41" s="16"/>
      <c r="M41" s="17"/>
    </row>
    <row r="42" customFormat="false" ht="18.75" hidden="false" customHeight="true" outlineLevel="0" collapsed="false">
      <c r="B42" s="11"/>
      <c r="C42" s="33" t="s">
        <v>83</v>
      </c>
      <c r="D42" s="3" t="s">
        <v>84</v>
      </c>
      <c r="F42" s="46"/>
      <c r="G42" s="46"/>
      <c r="H42" s="46"/>
      <c r="I42" s="46"/>
      <c r="J42" s="46"/>
      <c r="K42" s="46"/>
      <c r="L42" s="25"/>
      <c r="M42" s="47"/>
      <c r="N42" s="25"/>
    </row>
    <row r="43" customFormat="false" ht="21.75" hidden="false" customHeight="true" outlineLevel="0" collapsed="false">
      <c r="B43" s="11"/>
      <c r="C43" s="26" t="s">
        <v>85</v>
      </c>
      <c r="D43" s="3" t="s">
        <v>86</v>
      </c>
      <c r="E43" s="28"/>
      <c r="F43" s="28"/>
      <c r="G43" s="28"/>
      <c r="H43" s="28"/>
      <c r="I43" s="28"/>
      <c r="J43" s="28"/>
      <c r="K43" s="28"/>
      <c r="L43" s="1"/>
      <c r="M43" s="48"/>
      <c r="N43" s="1"/>
    </row>
    <row r="44" customFormat="false" ht="22.5" hidden="false" customHeight="true" outlineLevel="0" collapsed="false">
      <c r="B44" s="11"/>
      <c r="C44" s="26" t="s">
        <v>87</v>
      </c>
      <c r="D44" s="37" t="s">
        <v>88</v>
      </c>
      <c r="F44" s="33"/>
      <c r="G44" s="33"/>
      <c r="H44" s="33"/>
      <c r="I44" s="33"/>
      <c r="J44" s="33"/>
      <c r="K44" s="33"/>
      <c r="L44" s="25"/>
      <c r="M44" s="47"/>
      <c r="N44" s="25"/>
    </row>
    <row r="45" customFormat="false" ht="21.75" hidden="false" customHeight="true" outlineLevel="0" collapsed="false">
      <c r="B45" s="49"/>
      <c r="C45" s="50" t="s">
        <v>89</v>
      </c>
      <c r="D45" s="51" t="s">
        <v>90</v>
      </c>
      <c r="E45" s="52"/>
      <c r="F45" s="52"/>
      <c r="G45" s="52"/>
      <c r="H45" s="52"/>
      <c r="I45" s="52"/>
      <c r="J45" s="52"/>
      <c r="K45" s="52"/>
      <c r="L45" s="53"/>
      <c r="M45" s="54"/>
      <c r="N45" s="1"/>
    </row>
    <row r="46" customFormat="false" ht="21.75" hidden="false" customHeight="true" outlineLevel="0" collapsed="false">
      <c r="D46" s="13"/>
      <c r="E46" s="28"/>
      <c r="F46" s="28"/>
      <c r="G46" s="28"/>
      <c r="H46" s="28"/>
      <c r="I46" s="28"/>
      <c r="J46" s="28"/>
      <c r="K46" s="28"/>
      <c r="L46" s="1"/>
      <c r="M46" s="1"/>
      <c r="N46" s="1"/>
    </row>
    <row r="47" customFormat="false" ht="23.25" hidden="false" customHeight="true" outlineLevel="0" collapsed="false">
      <c r="F47" s="37"/>
      <c r="G47" s="1"/>
      <c r="H47" s="1"/>
      <c r="I47" s="1"/>
      <c r="J47" s="1"/>
      <c r="K47" s="1"/>
      <c r="L47" s="1"/>
      <c r="M47" s="1"/>
      <c r="N47" s="1"/>
    </row>
    <row r="48" customFormat="false" ht="22.5" hidden="false" customHeight="true" outlineLevel="0" collapsed="false">
      <c r="F48" s="37"/>
      <c r="G48" s="1"/>
      <c r="H48" s="1"/>
      <c r="I48" s="1"/>
      <c r="J48" s="1"/>
      <c r="K48" s="1"/>
      <c r="L48" s="1"/>
      <c r="M48" s="1"/>
      <c r="N48" s="1"/>
    </row>
    <row r="49" customFormat="false" ht="22.5" hidden="false" customHeight="true" outlineLevel="0" collapsed="false">
      <c r="F49" s="37"/>
      <c r="G49" s="1"/>
      <c r="H49" s="1"/>
      <c r="I49" s="1"/>
      <c r="J49" s="1"/>
      <c r="K49" s="1"/>
      <c r="L49" s="1"/>
      <c r="M49" s="1"/>
      <c r="N49" s="1"/>
    </row>
    <row r="50" customFormat="false" ht="19.5" hidden="false" customHeight="true" outlineLevel="0" collapsed="false">
      <c r="F50" s="55"/>
    </row>
  </sheetData>
  <mergeCells count="3">
    <mergeCell ref="B1:K1"/>
    <mergeCell ref="M1:M2"/>
    <mergeCell ref="D10:L11"/>
  </mergeCells>
  <conditionalFormatting sqref="G2">
    <cfRule type="containsText" priority="2" operator="containsText" aboveAverage="0" equalAverage="0" bottom="0" percent="0" rank="0" text="not started" dxfId="0">
      <formula>NOT(ISERROR(SEARCH("not started",G2)))</formula>
    </cfRule>
    <cfRule type="containsText" priority="3" operator="containsText" aboveAverage="0" equalAverage="0" bottom="0" percent="0" rank="0" text="In Progress" dxfId="1">
      <formula>NOT(ISERROR(SEARCH("In Progress",G2)))</formula>
    </cfRule>
    <cfRule type="containsText" priority="4" operator="containsText" aboveAverage="0" equalAverage="0" bottom="0" percent="0" rank="0" text="completed" dxfId="2">
      <formula>NOT(ISERROR(SEARCH("completed",G2)))</formula>
    </cfRule>
    <cfRule type="containsText" priority="5" operator="containsText" aboveAverage="0" equalAverage="0" bottom="0" percent="0" rank="0" text="Pending" dxfId="3">
      <formula>NOT(ISERROR(SEARCH("Pending",G2)))</formula>
    </cfRule>
  </conditionalFormatting>
  <hyperlinks>
    <hyperlink ref="D12" location="'Tasks Tracker'!A1" display="Tasks Tracker"/>
    <hyperlink ref="D13" location="Initiatives!A1" display="Initiatives"/>
    <hyperlink ref="D14" location="Reports!A1" display="Reports"/>
    <hyperlink ref="D15" location="Meetings!A1" display="Meetings"/>
    <hyperlink ref="D16" location="Priorities!A1" display="Priorities"/>
    <hyperlink ref="D17" location="'Weekly Achiever'!A1" display="Weekly Achiever"/>
  </hyperlink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J826"/>
  <sheetViews>
    <sheetView showFormulas="false" showGridLines="false" showRowColHeaders="true" showZeros="true" rightToLeft="false" tabSelected="false" showOutlineSymbols="true" defaultGridColor="true" view="normal" topLeftCell="A1" colorId="64" zoomScale="80" zoomScaleNormal="80" zoomScalePageLayoutView="100" workbookViewId="0">
      <pane xSplit="3" ySplit="4" topLeftCell="D5" activePane="bottomRight" state="frozen"/>
      <selection pane="topLeft" activeCell="A1" activeCellId="0" sqref="A1"/>
      <selection pane="topRight" activeCell="D1" activeCellId="0" sqref="D1"/>
      <selection pane="bottomLeft" activeCell="A5" activeCellId="0" sqref="A5"/>
      <selection pane="bottomRight" activeCell="K15" activeCellId="0" sqref="K15"/>
    </sheetView>
  </sheetViews>
  <sheetFormatPr defaultColWidth="8.875" defaultRowHeight="22.5" zeroHeight="false" outlineLevelRow="0" outlineLevelCol="0"/>
  <cols>
    <col collapsed="false" customWidth="true" hidden="false" outlineLevel="0" max="1" min="1" style="13" width="8.07"/>
    <col collapsed="false" customWidth="true" hidden="false" outlineLevel="0" max="2" min="2" style="13" width="28.12"/>
    <col collapsed="false" customWidth="true" hidden="false" outlineLevel="0" max="3" min="3" style="13" width="36.45"/>
    <col collapsed="false" customWidth="true" hidden="false" outlineLevel="0" max="4" min="4" style="13" width="41.84"/>
    <col collapsed="false" customWidth="true" hidden="false" outlineLevel="0" max="6" min="5" style="56" width="15.87"/>
    <col collapsed="false" customWidth="true" hidden="false" outlineLevel="0" max="7" min="7" style="57" width="16.54"/>
    <col collapsed="false" customWidth="true" hidden="false" outlineLevel="0" max="8" min="8" style="13" width="16.54"/>
    <col collapsed="false" customWidth="true" hidden="false" outlineLevel="0" max="9" min="9" style="58" width="18.29"/>
    <col collapsed="false" customWidth="true" hidden="false" outlineLevel="0" max="10" min="10" style="13" width="22.47"/>
    <col collapsed="false" customWidth="true" hidden="false" outlineLevel="0" max="11" min="11" style="13" width="23.81"/>
    <col collapsed="false" customWidth="true" hidden="false" outlineLevel="0" max="12" min="12" style="13" width="20.32"/>
    <col collapsed="false" customWidth="true" hidden="false" outlineLevel="0" max="13" min="13" style="13" width="34.84"/>
    <col collapsed="false" customWidth="true" hidden="false" outlineLevel="0" max="14" min="14" style="13" width="24.88"/>
    <col collapsed="false" customWidth="true" hidden="false" outlineLevel="0" max="15" min="15" style="13" width="23.41"/>
    <col collapsed="false" customWidth="true" hidden="false" outlineLevel="0" max="16" min="16" style="13" width="24.47"/>
    <col collapsed="false" customWidth="true" hidden="false" outlineLevel="0" max="17" min="17" style="58" width="16.01"/>
    <col collapsed="false" customWidth="true" hidden="false" outlineLevel="0" max="18" min="18" style="13" width="9.41"/>
    <col collapsed="false" customWidth="false" hidden="false" outlineLevel="0" max="57" min="19" style="13" width="8.87"/>
    <col collapsed="false" customWidth="true" hidden="false" outlineLevel="0" max="58" min="58" style="13" width="5.52"/>
    <col collapsed="false" customWidth="true" hidden="false" outlineLevel="0" max="59" min="59" style="13" width="13.45"/>
    <col collapsed="false" customWidth="false" hidden="false" outlineLevel="0" max="60" min="60" style="13" width="8.87"/>
    <col collapsed="false" customWidth="true" hidden="false" outlineLevel="0" max="61" min="61" style="13" width="17.35"/>
    <col collapsed="false" customWidth="false" hidden="false" outlineLevel="0" max="16384" min="62" style="13" width="8.87"/>
  </cols>
  <sheetData>
    <row r="1" customFormat="false" ht="30.75" hidden="false" customHeight="true" outlineLevel="0" collapsed="false">
      <c r="A1" s="59" t="s">
        <v>91</v>
      </c>
      <c r="B1" s="59"/>
      <c r="C1" s="59"/>
      <c r="D1" s="60"/>
      <c r="E1" s="61"/>
      <c r="F1" s="62"/>
      <c r="G1" s="63"/>
      <c r="H1" s="10"/>
      <c r="I1" s="9"/>
      <c r="J1" s="9"/>
      <c r="K1" s="9"/>
      <c r="L1" s="9"/>
      <c r="M1" s="64"/>
      <c r="N1" s="64"/>
    </row>
    <row r="2" customFormat="false" ht="24.75" hidden="false" customHeight="true" outlineLevel="0" collapsed="false">
      <c r="A2" s="59"/>
      <c r="B2" s="59"/>
      <c r="C2" s="59"/>
      <c r="D2" s="60"/>
      <c r="E2" s="61"/>
      <c r="F2" s="62"/>
      <c r="G2" s="63"/>
      <c r="H2" s="10"/>
      <c r="I2" s="9"/>
      <c r="J2" s="9"/>
      <c r="K2" s="9"/>
      <c r="L2" s="9"/>
      <c r="M2" s="64"/>
      <c r="N2" s="64"/>
    </row>
    <row r="3" customFormat="false" ht="21.75" hidden="false" customHeight="true" outlineLevel="0" collapsed="false">
      <c r="H3" s="58"/>
      <c r="I3" s="13"/>
    </row>
    <row r="4" s="72" customFormat="true" ht="49.5" hidden="false" customHeight="true" outlineLevel="0" collapsed="false">
      <c r="A4" s="65" t="s">
        <v>92</v>
      </c>
      <c r="B4" s="66" t="s">
        <v>93</v>
      </c>
      <c r="C4" s="67" t="s">
        <v>94</v>
      </c>
      <c r="D4" s="66" t="s">
        <v>95</v>
      </c>
      <c r="E4" s="68" t="s">
        <v>96</v>
      </c>
      <c r="F4" s="68" t="s">
        <v>97</v>
      </c>
      <c r="G4" s="69" t="s">
        <v>98</v>
      </c>
      <c r="H4" s="66" t="s">
        <v>99</v>
      </c>
      <c r="I4" s="66" t="s">
        <v>100</v>
      </c>
      <c r="J4" s="66" t="s">
        <v>101</v>
      </c>
      <c r="K4" s="66" t="s">
        <v>102</v>
      </c>
      <c r="L4" s="66" t="s">
        <v>103</v>
      </c>
      <c r="M4" s="66" t="s">
        <v>104</v>
      </c>
      <c r="N4" s="70" t="s">
        <v>105</v>
      </c>
      <c r="O4" s="71"/>
      <c r="P4" s="71"/>
      <c r="Q4" s="71"/>
      <c r="R4" s="71"/>
      <c r="S4" s="71"/>
      <c r="T4" s="71"/>
      <c r="U4" s="71"/>
      <c r="V4" s="71"/>
      <c r="W4" s="71"/>
      <c r="X4" s="71"/>
      <c r="Y4" s="71"/>
      <c r="Z4" s="71"/>
      <c r="AA4" s="71"/>
      <c r="AB4" s="71"/>
      <c r="AC4" s="71"/>
      <c r="AD4" s="71"/>
      <c r="AE4" s="71"/>
      <c r="AF4" s="71"/>
      <c r="AG4" s="71"/>
      <c r="AH4" s="71"/>
      <c r="AI4" s="71"/>
      <c r="AJ4" s="71"/>
      <c r="AK4" s="71"/>
      <c r="AL4" s="71"/>
      <c r="AM4" s="71"/>
      <c r="AN4" s="71"/>
      <c r="AO4" s="71"/>
      <c r="AP4" s="71"/>
      <c r="AQ4" s="71"/>
      <c r="AR4" s="71"/>
      <c r="AS4" s="71"/>
      <c r="AT4" s="71"/>
      <c r="AU4" s="71"/>
      <c r="AV4" s="71"/>
      <c r="AW4" s="71"/>
      <c r="AX4" s="71"/>
      <c r="AY4" s="71"/>
      <c r="AZ4" s="71"/>
      <c r="BA4" s="71"/>
      <c r="BB4" s="71"/>
      <c r="BC4" s="71"/>
      <c r="BD4" s="71"/>
      <c r="BE4" s="71"/>
      <c r="BF4" s="71"/>
      <c r="BG4" s="71"/>
      <c r="BH4" s="71"/>
      <c r="BI4" s="71"/>
      <c r="BJ4" s="71"/>
    </row>
    <row r="5" s="13" customFormat="true" ht="39.75" hidden="false" customHeight="true" outlineLevel="0" collapsed="false">
      <c r="A5" s="73" t="n">
        <v>1</v>
      </c>
      <c r="B5" s="74"/>
      <c r="C5" s="75" t="s">
        <v>106</v>
      </c>
      <c r="D5" s="76" t="s">
        <v>6</v>
      </c>
      <c r="E5" s="77" t="n">
        <v>46204</v>
      </c>
      <c r="F5" s="77" t="n">
        <v>46209</v>
      </c>
      <c r="G5" s="78" t="n">
        <v>1</v>
      </c>
      <c r="H5" s="76" t="str">
        <f aca="true">IF(G5="","",IF(G5=1,"Completed",
  IF(G5=0,"Not Started",
   IF(AND(F5&lt;&gt;"",ISNUMBER(F5),F5&lt;TODAY()),"Delayed","In Progress")
  )
 )
)</f>
        <v>Completed</v>
      </c>
      <c r="I5" s="76" t="s">
        <v>11</v>
      </c>
      <c r="J5" s="79" t="s">
        <v>107</v>
      </c>
      <c r="K5" s="76" t="s">
        <v>108</v>
      </c>
      <c r="L5" s="76" t="s">
        <v>28</v>
      </c>
      <c r="M5" s="80"/>
      <c r="N5" s="81" t="s">
        <v>109</v>
      </c>
      <c r="O5" s="19"/>
    </row>
    <row r="6" s="13" customFormat="true" ht="59.25" hidden="false" customHeight="true" outlineLevel="0" collapsed="false">
      <c r="A6" s="73" t="n">
        <v>2</v>
      </c>
      <c r="B6" s="74"/>
      <c r="C6" s="82" t="s">
        <v>110</v>
      </c>
      <c r="D6" s="76" t="s">
        <v>5</v>
      </c>
      <c r="E6" s="77" t="n">
        <v>46198</v>
      </c>
      <c r="F6" s="77" t="n">
        <v>46211</v>
      </c>
      <c r="G6" s="78" t="n">
        <v>0.3</v>
      </c>
      <c r="H6" s="76" t="str">
        <f aca="true">IF(G6="","",IF(G6=1,"Completed",
  IF(G6=0,"Not Started",
   IF(AND(F6&lt;&gt;"",ISNUMBER(F6),F6&lt;TODAY()),"Delayed","In Progress")
  )
 )
)</f>
        <v>In Progress</v>
      </c>
      <c r="I6" s="76" t="s">
        <v>13</v>
      </c>
      <c r="J6" s="79" t="s">
        <v>108</v>
      </c>
      <c r="K6" s="76" t="s">
        <v>111</v>
      </c>
      <c r="L6" s="76" t="s">
        <v>28</v>
      </c>
      <c r="M6" s="80"/>
      <c r="N6" s="81" t="s">
        <v>112</v>
      </c>
    </row>
    <row r="7" s="13" customFormat="true" ht="59.25" hidden="false" customHeight="true" outlineLevel="0" collapsed="false">
      <c r="A7" s="73" t="n">
        <v>3</v>
      </c>
      <c r="B7" s="74"/>
      <c r="C7" s="82" t="s">
        <v>113</v>
      </c>
      <c r="D7" s="76" t="s">
        <v>6</v>
      </c>
      <c r="E7" s="77" t="n">
        <v>46204</v>
      </c>
      <c r="F7" s="77" t="n">
        <v>46208</v>
      </c>
      <c r="G7" s="78" t="n">
        <v>0.5</v>
      </c>
      <c r="H7" s="76" t="str">
        <f aca="true">IF(G7="","",IF(G7=1,"Completed",
IF(G7=0,"Not Started",
IF(AND(F7&lt;&gt;"",ISNUMBER(F7),F7&lt;TODAY()),"Delayed","In Progress")
)
)
)</f>
        <v>Delayed</v>
      </c>
      <c r="I7" s="76" t="s">
        <v>11</v>
      </c>
      <c r="J7" s="79" t="s">
        <v>107</v>
      </c>
      <c r="K7" s="76" t="s">
        <v>114</v>
      </c>
      <c r="L7" s="76" t="s">
        <v>28</v>
      </c>
      <c r="M7" s="80"/>
      <c r="N7" s="81" t="s">
        <v>115</v>
      </c>
    </row>
    <row r="8" s="13" customFormat="true" ht="36" hidden="false" customHeight="true" outlineLevel="0" collapsed="false">
      <c r="A8" s="73" t="n">
        <v>4</v>
      </c>
      <c r="B8" s="74"/>
      <c r="C8" s="75" t="s">
        <v>116</v>
      </c>
      <c r="D8" s="76" t="s">
        <v>5</v>
      </c>
      <c r="E8" s="77" t="n">
        <v>46208</v>
      </c>
      <c r="F8" s="77" t="n">
        <v>46210</v>
      </c>
      <c r="G8" s="78" t="n">
        <v>0.2</v>
      </c>
      <c r="H8" s="76" t="str">
        <f aca="true">IF(G8="","",IF(G8=1,"Completed",
IF(G8=0,"Not Started",
IF(AND(F8&lt;&gt;"",ISNUMBER(F8),F8&lt;TODAY()),"Delayed","In Progress")
)
)
)</f>
        <v>Delayed</v>
      </c>
      <c r="I8" s="76" t="s">
        <v>11</v>
      </c>
      <c r="J8" s="79" t="s">
        <v>108</v>
      </c>
      <c r="K8" s="76" t="s">
        <v>111</v>
      </c>
      <c r="L8" s="76" t="s">
        <v>28</v>
      </c>
      <c r="M8" s="80"/>
      <c r="N8" s="83" t="s">
        <v>117</v>
      </c>
    </row>
    <row r="9" s="13" customFormat="true" ht="39.75" hidden="false" customHeight="true" outlineLevel="0" collapsed="false">
      <c r="A9" s="73" t="n">
        <v>5</v>
      </c>
      <c r="B9" s="74"/>
      <c r="C9" s="75" t="s">
        <v>118</v>
      </c>
      <c r="D9" s="76" t="s">
        <v>5</v>
      </c>
      <c r="E9" s="77" t="n">
        <v>46201</v>
      </c>
      <c r="F9" s="77" t="n">
        <v>46208</v>
      </c>
      <c r="G9" s="78" t="n">
        <v>1</v>
      </c>
      <c r="H9" s="76" t="str">
        <f aca="true">IF(G9="","",IF(G9=1,"Completed",
IF(G9=0,"Not Started",
IF(AND(F9&lt;&gt;"",ISNUMBER(F9),F9&lt;TODAY()),"Delayed","In Progress")
)
)
)</f>
        <v>Completed</v>
      </c>
      <c r="I9" s="76" t="s">
        <v>11</v>
      </c>
      <c r="J9" s="79" t="s">
        <v>119</v>
      </c>
      <c r="K9" s="76" t="s">
        <v>108</v>
      </c>
      <c r="L9" s="76" t="s">
        <v>28</v>
      </c>
      <c r="M9" s="80"/>
      <c r="N9" s="81" t="s">
        <v>120</v>
      </c>
    </row>
    <row r="10" s="13" customFormat="true" ht="22.5" hidden="false" customHeight="true" outlineLevel="0" collapsed="false">
      <c r="A10" s="73" t="n">
        <v>6</v>
      </c>
      <c r="B10" s="74"/>
      <c r="C10" s="82" t="s">
        <v>121</v>
      </c>
      <c r="D10" s="76" t="s">
        <v>5</v>
      </c>
      <c r="E10" s="77" t="n">
        <v>46204</v>
      </c>
      <c r="F10" s="77" t="n">
        <v>46208</v>
      </c>
      <c r="G10" s="78" t="n">
        <v>1</v>
      </c>
      <c r="H10" s="76" t="str">
        <f aca="true">IF(G10="","",IF(G10=1,"Completed",
IF(G10=0,"Not Started",
IF(AND(F10&lt;&gt;"",ISNUMBER(F10),F10&lt;TODAY()),"Delayed","In Progress")
)
)
)</f>
        <v>Completed</v>
      </c>
      <c r="I10" s="76" t="s">
        <v>11</v>
      </c>
      <c r="J10" s="79" t="s">
        <v>122</v>
      </c>
      <c r="K10" s="76" t="s">
        <v>108</v>
      </c>
      <c r="L10" s="76" t="s">
        <v>28</v>
      </c>
      <c r="M10" s="80"/>
      <c r="N10" s="83"/>
    </row>
    <row r="11" s="13" customFormat="true" ht="22.5" hidden="false" customHeight="true" outlineLevel="0" collapsed="false">
      <c r="A11" s="73" t="n">
        <v>7</v>
      </c>
      <c r="B11" s="74"/>
      <c r="C11" s="82" t="s">
        <v>123</v>
      </c>
      <c r="D11" s="76" t="s">
        <v>5</v>
      </c>
      <c r="E11" s="77" t="n">
        <v>46208</v>
      </c>
      <c r="F11" s="77" t="n">
        <v>46210</v>
      </c>
      <c r="G11" s="78" t="n">
        <v>1</v>
      </c>
      <c r="H11" s="76" t="str">
        <f aca="true">IF(G11="","",IF(G11=1,"Completed",
IF(G11=0,"Not Started",
IF(AND(F11&lt;&gt;"",ISNUMBER(F11),F11&lt;TODAY()),"Delayed","In Progress")
)
)
)</f>
        <v>Completed</v>
      </c>
      <c r="I11" s="76" t="s">
        <v>13</v>
      </c>
      <c r="J11" s="79" t="s">
        <v>108</v>
      </c>
      <c r="K11" s="76" t="s">
        <v>111</v>
      </c>
      <c r="L11" s="76" t="s">
        <v>28</v>
      </c>
      <c r="M11" s="80"/>
      <c r="N11" s="83"/>
    </row>
    <row r="12" s="13" customFormat="true" ht="22.5" hidden="false" customHeight="true" outlineLevel="0" collapsed="false">
      <c r="A12" s="73" t="n">
        <v>8</v>
      </c>
      <c r="B12" s="74"/>
      <c r="C12" s="82" t="s">
        <v>124</v>
      </c>
      <c r="D12" s="76" t="s">
        <v>5</v>
      </c>
      <c r="E12" s="77" t="n">
        <v>46208</v>
      </c>
      <c r="F12" s="77" t="n">
        <v>46211</v>
      </c>
      <c r="G12" s="78" t="n">
        <v>0.5</v>
      </c>
      <c r="H12" s="76" t="str">
        <f aca="true">IF(G12="","",IF(G12=1,"Completed",
IF(G12=0,"Not Started",
IF(AND(F12&lt;&gt;"",ISNUMBER(F12),F12&lt;TODAY()),"Delayed","In Progress")
)
)
)</f>
        <v>In Progress</v>
      </c>
      <c r="I12" s="76" t="s">
        <v>13</v>
      </c>
      <c r="J12" s="79" t="s">
        <v>111</v>
      </c>
      <c r="K12" s="76" t="s">
        <v>125</v>
      </c>
      <c r="L12" s="76" t="s">
        <v>28</v>
      </c>
      <c r="M12" s="80"/>
      <c r="N12" s="83"/>
    </row>
    <row r="13" s="13" customFormat="true" ht="22.5" hidden="false" customHeight="true" outlineLevel="0" collapsed="false">
      <c r="A13" s="73" t="n">
        <v>9</v>
      </c>
      <c r="B13" s="74"/>
      <c r="C13" s="82" t="s">
        <v>126</v>
      </c>
      <c r="D13" s="76" t="s">
        <v>6</v>
      </c>
      <c r="E13" s="77" t="n">
        <v>46208</v>
      </c>
      <c r="F13" s="77" t="n">
        <v>46209</v>
      </c>
      <c r="G13" s="78" t="n">
        <v>1</v>
      </c>
      <c r="H13" s="76" t="str">
        <f aca="true">IF(G13="","",IF(G13=1,"Completed",
IF(G13=0,"Not Started",
IF(AND(F13&lt;&gt;"",ISNUMBER(F13),F13&lt;TODAY()),"Delayed","In Progress")
)
)
)</f>
        <v>Completed</v>
      </c>
      <c r="I13" s="76" t="s">
        <v>13</v>
      </c>
      <c r="J13" s="79" t="s">
        <v>107</v>
      </c>
      <c r="K13" s="76"/>
      <c r="L13" s="76" t="s">
        <v>28</v>
      </c>
      <c r="M13" s="80"/>
      <c r="N13" s="83"/>
    </row>
    <row r="14" s="13" customFormat="true" ht="39.75" hidden="false" customHeight="true" outlineLevel="0" collapsed="false">
      <c r="A14" s="73" t="n">
        <v>10</v>
      </c>
      <c r="B14" s="74"/>
      <c r="C14" s="84" t="s">
        <v>127</v>
      </c>
      <c r="D14" s="76" t="s">
        <v>5</v>
      </c>
      <c r="E14" s="77" t="n">
        <v>46208</v>
      </c>
      <c r="F14" s="77" t="n">
        <v>46210</v>
      </c>
      <c r="G14" s="78" t="n">
        <v>0.5</v>
      </c>
      <c r="H14" s="76" t="str">
        <f aca="true">IF(G14="","",IF(G14=1,"Completed",
IF(G14=0,"Not Started",
IF(AND(F14&lt;&gt;"",ISNUMBER(F14),F14&lt;TODAY()),"Delayed","In Progress")
)
)
)</f>
        <v>Delayed</v>
      </c>
      <c r="I14" s="76" t="s">
        <v>11</v>
      </c>
      <c r="J14" s="85" t="s">
        <v>125</v>
      </c>
      <c r="K14" s="76" t="s">
        <v>111</v>
      </c>
      <c r="L14" s="76" t="s">
        <v>28</v>
      </c>
      <c r="M14" s="80"/>
      <c r="N14" s="83"/>
    </row>
    <row r="15" s="13" customFormat="true" ht="39.75" hidden="false" customHeight="true" outlineLevel="0" collapsed="false">
      <c r="A15" s="73" t="n">
        <v>11</v>
      </c>
      <c r="B15" s="74"/>
      <c r="C15" s="82" t="s">
        <v>128</v>
      </c>
      <c r="D15" s="76" t="s">
        <v>5</v>
      </c>
      <c r="E15" s="77" t="n">
        <v>46208</v>
      </c>
      <c r="F15" s="77" t="n">
        <v>46213</v>
      </c>
      <c r="G15" s="78" t="n">
        <v>0.1</v>
      </c>
      <c r="H15" s="76" t="str">
        <f aca="true">IF(G15="","",IF(G15=1,"Completed",
IF(G15=0,"Not Started",
IF(AND(F15&lt;&gt;"",ISNUMBER(F15),F15&lt;TODAY()),"Delayed","In Progress")
)
)
)</f>
        <v>In Progress</v>
      </c>
      <c r="I15" s="76" t="s">
        <v>11</v>
      </c>
      <c r="J15" s="85" t="s">
        <v>111</v>
      </c>
      <c r="K15" s="76" t="s">
        <v>125</v>
      </c>
      <c r="L15" s="76" t="s">
        <v>28</v>
      </c>
      <c r="M15" s="80"/>
      <c r="N15" s="83"/>
    </row>
    <row r="16" s="13" customFormat="true" ht="59.25" hidden="false" customHeight="true" outlineLevel="0" collapsed="false">
      <c r="A16" s="73" t="n">
        <v>12</v>
      </c>
      <c r="B16" s="74"/>
      <c r="C16" s="82" t="s">
        <v>129</v>
      </c>
      <c r="D16" s="76" t="s">
        <v>5</v>
      </c>
      <c r="E16" s="77" t="n">
        <v>46204</v>
      </c>
      <c r="F16" s="77" t="n">
        <v>46212</v>
      </c>
      <c r="G16" s="78" t="n">
        <v>0.4</v>
      </c>
      <c r="H16" s="76" t="str">
        <f aca="true">IF(G16="","",IF(G16=1,"Completed",
IF(G16=0,"Not Started",
IF(AND(F16&lt;&gt;"",ISNUMBER(F16),F16&lt;TODAY()),"Delayed","In Progress")
)
)
)</f>
        <v>In Progress</v>
      </c>
      <c r="I16" s="76" t="s">
        <v>11</v>
      </c>
      <c r="J16" s="85" t="s">
        <v>130</v>
      </c>
      <c r="K16" s="76" t="s">
        <v>122</v>
      </c>
      <c r="L16" s="76" t="s">
        <v>28</v>
      </c>
      <c r="M16" s="80"/>
      <c r="N16" s="81" t="s">
        <v>131</v>
      </c>
    </row>
    <row r="17" s="13" customFormat="true" ht="22.5" hidden="false" customHeight="true" outlineLevel="0" collapsed="false">
      <c r="A17" s="73" t="n">
        <v>13</v>
      </c>
      <c r="B17" s="74"/>
      <c r="C17" s="82" t="s">
        <v>132</v>
      </c>
      <c r="D17" s="76" t="s">
        <v>5</v>
      </c>
      <c r="E17" s="77" t="n">
        <v>46202</v>
      </c>
      <c r="F17" s="77" t="n">
        <v>46204</v>
      </c>
      <c r="G17" s="78" t="n">
        <v>1</v>
      </c>
      <c r="H17" s="76" t="str">
        <f aca="true">IF(G17="","",IF(G17=1,"Completed",
IF(G17=0,"Not Started",
IF(AND(F17&lt;&gt;"",ISNUMBER(F17),F17&lt;TODAY()),"Delayed","In Progress")
)
)
)</f>
        <v>Completed</v>
      </c>
      <c r="I17" s="76" t="s">
        <v>13</v>
      </c>
      <c r="J17" s="79" t="s">
        <v>111</v>
      </c>
      <c r="K17" s="76"/>
      <c r="L17" s="76" t="s">
        <v>28</v>
      </c>
      <c r="M17" s="80"/>
      <c r="N17" s="83"/>
    </row>
    <row r="18" s="13" customFormat="true" ht="22.5" hidden="false" customHeight="true" outlineLevel="0" collapsed="false">
      <c r="A18" s="73" t="n">
        <v>14</v>
      </c>
      <c r="B18" s="74"/>
      <c r="C18" s="82" t="s">
        <v>133</v>
      </c>
      <c r="D18" s="76" t="s">
        <v>5</v>
      </c>
      <c r="E18" s="77" t="n">
        <v>46202</v>
      </c>
      <c r="F18" s="77" t="n">
        <v>46204</v>
      </c>
      <c r="G18" s="78" t="n">
        <v>1</v>
      </c>
      <c r="H18" s="76" t="str">
        <f aca="true">IF(G18="","",IF(G18=1,"Completed",
IF(G18=0,"Not Started",
IF(AND(F18&lt;&gt;"",ISNUMBER(F18),F18&lt;TODAY()),"Delayed","In Progress")
)
)
)</f>
        <v>Completed</v>
      </c>
      <c r="I18" s="76" t="s">
        <v>11</v>
      </c>
      <c r="J18" s="79" t="s">
        <v>111</v>
      </c>
      <c r="K18" s="76"/>
      <c r="L18" s="76" t="s">
        <v>28</v>
      </c>
      <c r="M18" s="80"/>
      <c r="N18" s="83"/>
    </row>
    <row r="19" s="13" customFormat="true" ht="39.75" hidden="false" customHeight="true" outlineLevel="0" collapsed="false">
      <c r="A19" s="73" t="n">
        <v>15</v>
      </c>
      <c r="B19" s="74"/>
      <c r="C19" s="82" t="s">
        <v>134</v>
      </c>
      <c r="D19" s="76" t="s">
        <v>5</v>
      </c>
      <c r="E19" s="77" t="n">
        <v>46209</v>
      </c>
      <c r="F19" s="77" t="n">
        <v>46212</v>
      </c>
      <c r="G19" s="78" t="n">
        <v>0.2</v>
      </c>
      <c r="H19" s="76" t="str">
        <f aca="true">IF(G19="","",IF(G19=1,"Completed",
IF(G19=0,"Not Started",
IF(AND(F19&lt;&gt;"",ISNUMBER(F19),F19&lt;TODAY()),"Delayed","In Progress")
)
)
)</f>
        <v>In Progress</v>
      </c>
      <c r="I19" s="76" t="s">
        <v>10</v>
      </c>
      <c r="J19" s="85" t="s">
        <v>125</v>
      </c>
      <c r="K19" s="76" t="s">
        <v>111</v>
      </c>
      <c r="L19" s="76"/>
      <c r="M19" s="80"/>
      <c r="N19" s="83"/>
    </row>
    <row r="20" s="13" customFormat="true" ht="22.5" hidden="false" customHeight="true" outlineLevel="0" collapsed="false">
      <c r="A20" s="73" t="n">
        <v>16</v>
      </c>
      <c r="B20" s="74"/>
      <c r="C20" s="82" t="s">
        <v>135</v>
      </c>
      <c r="D20" s="76" t="s">
        <v>6</v>
      </c>
      <c r="E20" s="77" t="n">
        <v>46209</v>
      </c>
      <c r="F20" s="77" t="n">
        <v>46212</v>
      </c>
      <c r="G20" s="78" t="n">
        <v>0.1</v>
      </c>
      <c r="H20" s="76" t="str">
        <f aca="true">IF(G20="","",IF(G20=1,"Completed",
IF(G20=0,"Not Started",
IF(AND(F20&lt;&gt;"",ISNUMBER(F20),F20&lt;TODAY()),"Delayed","In Progress")
)
)
)</f>
        <v>In Progress</v>
      </c>
      <c r="I20" s="76" t="s">
        <v>11</v>
      </c>
      <c r="J20" s="79" t="s">
        <v>125</v>
      </c>
      <c r="K20" s="76"/>
      <c r="L20" s="76"/>
      <c r="M20" s="80"/>
      <c r="N20" s="83"/>
    </row>
    <row r="21" s="13" customFormat="true" ht="22.5" hidden="false" customHeight="true" outlineLevel="0" collapsed="false">
      <c r="A21" s="73" t="n">
        <v>17</v>
      </c>
      <c r="B21" s="74"/>
      <c r="C21" s="82"/>
      <c r="D21" s="76"/>
      <c r="E21" s="77"/>
      <c r="F21" s="77"/>
      <c r="G21" s="78"/>
      <c r="H21" s="76" t="str">
        <f aca="true">IF(G21="","",IF(G21=1,"Completed",
IF(G21=0,"Not Started",
IF(AND(F21&lt;&gt;"",ISNUMBER(F21),F21&lt;TODAY()),"Delayed","In Progress")
)
)
)</f>
        <v/>
      </c>
      <c r="I21" s="76"/>
      <c r="J21" s="79"/>
      <c r="K21" s="76"/>
      <c r="L21" s="76"/>
      <c r="M21" s="80"/>
      <c r="N21" s="83"/>
    </row>
    <row r="22" s="13" customFormat="true" ht="22.5" hidden="false" customHeight="true" outlineLevel="0" collapsed="false">
      <c r="A22" s="73" t="n">
        <v>18</v>
      </c>
      <c r="B22" s="74"/>
      <c r="C22" s="82"/>
      <c r="D22" s="76"/>
      <c r="E22" s="77"/>
      <c r="F22" s="77"/>
      <c r="G22" s="78"/>
      <c r="H22" s="76" t="str">
        <f aca="true">IF(G22="","",IF(G22=1,"Completed",
IF(G22=0,"Not Started",
IF(AND(F22&lt;&gt;"",ISNUMBER(F22),F22&lt;TODAY()),"Delayed","In Progress")
)
)
)</f>
        <v/>
      </c>
      <c r="I22" s="76"/>
      <c r="J22" s="79"/>
      <c r="K22" s="76"/>
      <c r="L22" s="76"/>
      <c r="M22" s="80"/>
      <c r="N22" s="83"/>
    </row>
    <row r="23" s="13" customFormat="true" ht="22.5" hidden="false" customHeight="true" outlineLevel="0" collapsed="false">
      <c r="A23" s="73" t="n">
        <v>19</v>
      </c>
      <c r="B23" s="74"/>
      <c r="C23" s="82"/>
      <c r="D23" s="76"/>
      <c r="E23" s="77"/>
      <c r="F23" s="77"/>
      <c r="G23" s="78"/>
      <c r="H23" s="76" t="str">
        <f aca="true">IF(G23="","",IF(G23=1,"Completed",
IF(G23=0,"Not Started",
IF(AND(F23&lt;&gt;"",ISNUMBER(F23),F23&lt;TODAY()),"Delayed","In Progress")
)
)
)</f>
        <v/>
      </c>
      <c r="I23" s="76"/>
      <c r="J23" s="79"/>
      <c r="K23" s="76"/>
      <c r="L23" s="76"/>
      <c r="M23" s="80"/>
      <c r="N23" s="83"/>
    </row>
    <row r="24" s="13" customFormat="true" ht="22.5" hidden="false" customHeight="true" outlineLevel="0" collapsed="false">
      <c r="A24" s="73" t="n">
        <v>20</v>
      </c>
      <c r="B24" s="74"/>
      <c r="C24" s="82"/>
      <c r="D24" s="76"/>
      <c r="E24" s="77"/>
      <c r="F24" s="77"/>
      <c r="G24" s="78"/>
      <c r="H24" s="76" t="str">
        <f aca="true">IF(G24="","",IF(G24=1,"Completed",
IF(G24=0,"Not Started",
IF(AND(F24&lt;&gt;"",ISNUMBER(F24),F24&lt;TODAY()),"Delayed","In Progress")
)
)
)</f>
        <v/>
      </c>
      <c r="I24" s="76"/>
      <c r="J24" s="79"/>
      <c r="K24" s="76"/>
      <c r="L24" s="76"/>
      <c r="M24" s="80"/>
      <c r="N24" s="83"/>
    </row>
    <row r="25" s="13" customFormat="true" ht="22.5" hidden="false" customHeight="true" outlineLevel="0" collapsed="false">
      <c r="A25" s="73" t="n">
        <v>21</v>
      </c>
      <c r="B25" s="74"/>
      <c r="C25" s="82"/>
      <c r="D25" s="76"/>
      <c r="E25" s="77"/>
      <c r="F25" s="77"/>
      <c r="G25" s="78"/>
      <c r="H25" s="76" t="str">
        <f aca="true">IF(G25="","",IF(G25=1,"Completed",
IF(G25=0,"Not Started",
IF(AND(F25&lt;&gt;"",ISNUMBER(F25),F25&lt;TODAY()),"Delayed","In Progress")
)
)
)</f>
        <v/>
      </c>
      <c r="I25" s="76"/>
      <c r="J25" s="79"/>
      <c r="K25" s="76"/>
      <c r="L25" s="76"/>
      <c r="M25" s="80"/>
      <c r="N25" s="83"/>
    </row>
    <row r="26" s="13" customFormat="true" ht="22.5" hidden="false" customHeight="true" outlineLevel="0" collapsed="false">
      <c r="A26" s="73" t="n">
        <v>22</v>
      </c>
      <c r="B26" s="74"/>
      <c r="C26" s="82"/>
      <c r="D26" s="76"/>
      <c r="E26" s="77"/>
      <c r="F26" s="77"/>
      <c r="G26" s="78"/>
      <c r="H26" s="76" t="str">
        <f aca="true">IF(G26="","",IF(G26=1,"Completed",
IF(G26=0,"Not Started",
IF(AND(F26&lt;&gt;"",ISNUMBER(F26),F26&lt;TODAY()),"Delayed","In Progress")
)
)
)</f>
        <v/>
      </c>
      <c r="I26" s="76"/>
      <c r="J26" s="79"/>
      <c r="K26" s="76"/>
      <c r="L26" s="76"/>
      <c r="M26" s="80"/>
      <c r="N26" s="83"/>
    </row>
    <row r="27" s="13" customFormat="true" ht="22.5" hidden="false" customHeight="true" outlineLevel="0" collapsed="false">
      <c r="A27" s="73" t="n">
        <v>23</v>
      </c>
      <c r="B27" s="74"/>
      <c r="C27" s="82"/>
      <c r="D27" s="76"/>
      <c r="E27" s="77"/>
      <c r="F27" s="77"/>
      <c r="G27" s="78"/>
      <c r="H27" s="76" t="str">
        <f aca="true">IF(G27="","",IF(G27=1,"Completed",
IF(G27=0,"Not Started",
IF(AND(F27&lt;&gt;"",ISNUMBER(F27),F27&lt;TODAY()),"Delayed","In Progress")
)
)
)</f>
        <v/>
      </c>
      <c r="I27" s="76"/>
      <c r="J27" s="79"/>
      <c r="K27" s="76"/>
      <c r="L27" s="76"/>
      <c r="M27" s="80"/>
      <c r="N27" s="83"/>
    </row>
    <row r="28" s="13" customFormat="true" ht="22.5" hidden="false" customHeight="true" outlineLevel="0" collapsed="false">
      <c r="A28" s="73" t="n">
        <v>24</v>
      </c>
      <c r="B28" s="74"/>
      <c r="C28" s="82"/>
      <c r="D28" s="76"/>
      <c r="E28" s="77"/>
      <c r="F28" s="77"/>
      <c r="G28" s="78"/>
      <c r="H28" s="76" t="str">
        <f aca="true">IF(G28="","",IF(G28=1,"Completed",
IF(G28=0,"Not Started",
IF(AND(F28&lt;&gt;"",ISNUMBER(F28),F28&lt;TODAY()),"Delayed","In Progress")
)
)
)</f>
        <v/>
      </c>
      <c r="I28" s="76"/>
      <c r="J28" s="79"/>
      <c r="K28" s="76"/>
      <c r="L28" s="76"/>
      <c r="M28" s="80"/>
      <c r="N28" s="83"/>
    </row>
    <row r="29" s="13" customFormat="true" ht="22.5" hidden="false" customHeight="true" outlineLevel="0" collapsed="false">
      <c r="A29" s="73" t="n">
        <v>25</v>
      </c>
      <c r="B29" s="74"/>
      <c r="C29" s="82"/>
      <c r="D29" s="76"/>
      <c r="E29" s="77"/>
      <c r="F29" s="77"/>
      <c r="G29" s="78"/>
      <c r="H29" s="76" t="str">
        <f aca="true">IF(G29="","",IF(G29=1,"Completed",
IF(G29=0,"Not Started",
IF(AND(F29&lt;&gt;"",ISNUMBER(F29),F29&lt;TODAY()),"Delayed","In Progress")
)
)
)</f>
        <v/>
      </c>
      <c r="I29" s="76"/>
      <c r="J29" s="79"/>
      <c r="K29" s="76"/>
      <c r="L29" s="76"/>
      <c r="M29" s="80"/>
      <c r="N29" s="83"/>
    </row>
    <row r="30" s="13" customFormat="true" ht="22.5" hidden="false" customHeight="true" outlineLevel="0" collapsed="false">
      <c r="A30" s="73" t="n">
        <v>26</v>
      </c>
      <c r="B30" s="74"/>
      <c r="C30" s="82"/>
      <c r="D30" s="76"/>
      <c r="E30" s="77"/>
      <c r="F30" s="77"/>
      <c r="G30" s="78"/>
      <c r="H30" s="76" t="str">
        <f aca="true">IF(G30="","",IF(G30=1,"Completed",
IF(G30=0,"Not Started",
IF(AND(F30&lt;&gt;"",ISNUMBER(F30),F30&lt;TODAY()),"Delayed","In Progress")
)
)
)</f>
        <v/>
      </c>
      <c r="I30" s="76"/>
      <c r="J30" s="79"/>
      <c r="K30" s="76"/>
      <c r="L30" s="76"/>
      <c r="M30" s="80"/>
      <c r="N30" s="83"/>
    </row>
    <row r="31" s="13" customFormat="true" ht="22.5" hidden="false" customHeight="true" outlineLevel="0" collapsed="false">
      <c r="A31" s="73" t="n">
        <v>27</v>
      </c>
      <c r="B31" s="74"/>
      <c r="C31" s="82"/>
      <c r="D31" s="76"/>
      <c r="E31" s="77"/>
      <c r="F31" s="77"/>
      <c r="G31" s="78"/>
      <c r="H31" s="76" t="str">
        <f aca="true">IF(G31="","",IF(G31=1,"Completed",
IF(G31=0,"Not Started",
IF(AND(F31&lt;&gt;"",ISNUMBER(F31),F31&lt;TODAY()),"Delayed","In Progress")
)
)
)</f>
        <v/>
      </c>
      <c r="I31" s="76"/>
      <c r="J31" s="79"/>
      <c r="K31" s="76"/>
      <c r="L31" s="76"/>
      <c r="M31" s="80"/>
      <c r="N31" s="83"/>
    </row>
    <row r="32" s="13" customFormat="true" ht="22.5" hidden="false" customHeight="true" outlineLevel="0" collapsed="false">
      <c r="A32" s="73" t="n">
        <v>28</v>
      </c>
      <c r="B32" s="74"/>
      <c r="C32" s="82"/>
      <c r="D32" s="76"/>
      <c r="E32" s="77"/>
      <c r="F32" s="77"/>
      <c r="G32" s="78"/>
      <c r="H32" s="76" t="str">
        <f aca="true">IF(G32="","",IF(G32=1,"Completed",
IF(G32=0,"Not Started",
IF(AND(F32&lt;&gt;"",ISNUMBER(F32),F32&lt;TODAY()),"Delayed","In Progress")
)
)
)</f>
        <v/>
      </c>
      <c r="I32" s="76"/>
      <c r="J32" s="79"/>
      <c r="K32" s="76"/>
      <c r="L32" s="76"/>
      <c r="M32" s="80"/>
      <c r="N32" s="83"/>
    </row>
    <row r="33" s="13" customFormat="true" ht="22.5" hidden="false" customHeight="true" outlineLevel="0" collapsed="false">
      <c r="A33" s="73" t="n">
        <v>29</v>
      </c>
      <c r="B33" s="74"/>
      <c r="C33" s="82"/>
      <c r="D33" s="76"/>
      <c r="E33" s="77"/>
      <c r="F33" s="77"/>
      <c r="G33" s="78"/>
      <c r="H33" s="76" t="str">
        <f aca="true">IF(G33="","",IF(G33=1,"Completed",
IF(G33=0,"Not Started",
IF(AND(F33&lt;&gt;"",ISNUMBER(F33),F33&lt;TODAY()),"Delayed","In Progress")
)
)
)</f>
        <v/>
      </c>
      <c r="I33" s="76"/>
      <c r="J33" s="79"/>
      <c r="K33" s="76"/>
      <c r="L33" s="76"/>
      <c r="M33" s="80"/>
      <c r="N33" s="83"/>
    </row>
    <row r="34" s="13" customFormat="true" ht="22.5" hidden="false" customHeight="true" outlineLevel="0" collapsed="false">
      <c r="A34" s="73" t="n">
        <v>30</v>
      </c>
      <c r="B34" s="74"/>
      <c r="C34" s="82"/>
      <c r="D34" s="76"/>
      <c r="E34" s="77"/>
      <c r="F34" s="77"/>
      <c r="G34" s="78"/>
      <c r="H34" s="76" t="str">
        <f aca="true">IF(G34="","",IF(G34=1,"Completed",
IF(G34=0,"Not Started",
IF(AND(F34&lt;&gt;"",ISNUMBER(F34),F34&lt;TODAY()),"Delayed","In Progress")
)
)
)</f>
        <v/>
      </c>
      <c r="I34" s="76"/>
      <c r="J34" s="79"/>
      <c r="K34" s="76"/>
      <c r="L34" s="76"/>
      <c r="M34" s="80"/>
      <c r="N34" s="83"/>
    </row>
    <row r="35" s="13" customFormat="true" ht="22.5" hidden="false" customHeight="true" outlineLevel="0" collapsed="false">
      <c r="A35" s="73" t="n">
        <v>31</v>
      </c>
      <c r="B35" s="74"/>
      <c r="C35" s="82"/>
      <c r="D35" s="76"/>
      <c r="E35" s="77"/>
      <c r="F35" s="77"/>
      <c r="G35" s="78"/>
      <c r="H35" s="76" t="str">
        <f aca="true">IF(G35="","",IF(G35=1,"Completed",
IF(G35=0,"Not Started",
IF(AND(F35&lt;&gt;"",ISNUMBER(F35),F35&lt;TODAY()),"Delayed","In Progress")
)
)
)</f>
        <v/>
      </c>
      <c r="I35" s="76"/>
      <c r="J35" s="79"/>
      <c r="K35" s="76"/>
      <c r="L35" s="76"/>
      <c r="M35" s="80"/>
      <c r="N35" s="83"/>
    </row>
    <row r="36" s="13" customFormat="true" ht="22.5" hidden="false" customHeight="true" outlineLevel="0" collapsed="false">
      <c r="A36" s="73" t="n">
        <v>32</v>
      </c>
      <c r="B36" s="74"/>
      <c r="C36" s="82"/>
      <c r="D36" s="76"/>
      <c r="E36" s="77"/>
      <c r="F36" s="77"/>
      <c r="G36" s="78"/>
      <c r="H36" s="76" t="str">
        <f aca="true">IF(G36="","",IF(G36=1,"Completed",
IF(G36=0,"Not Started",
IF(AND(F36&lt;&gt;"",ISNUMBER(F36),F36&lt;TODAY()),"Delayed","In Progress")
)
)
)</f>
        <v/>
      </c>
      <c r="I36" s="76"/>
      <c r="J36" s="79"/>
      <c r="K36" s="76"/>
      <c r="L36" s="76"/>
      <c r="M36" s="80"/>
      <c r="N36" s="83"/>
    </row>
    <row r="37" s="13" customFormat="true" ht="22.5" hidden="false" customHeight="true" outlineLevel="0" collapsed="false">
      <c r="A37" s="73" t="n">
        <v>33</v>
      </c>
      <c r="B37" s="74"/>
      <c r="C37" s="82"/>
      <c r="D37" s="76"/>
      <c r="E37" s="77"/>
      <c r="F37" s="77"/>
      <c r="G37" s="78"/>
      <c r="H37" s="76" t="str">
        <f aca="true">IF(G37="","",IF(G37=1,"Completed",
IF(G37=0,"Not Started",
IF(AND(F37&lt;&gt;"",ISNUMBER(F37),F37&lt;TODAY()),"Delayed","In Progress")
)
)
)</f>
        <v/>
      </c>
      <c r="I37" s="76"/>
      <c r="J37" s="79"/>
      <c r="K37" s="76"/>
      <c r="L37" s="76"/>
      <c r="M37" s="80"/>
      <c r="N37" s="83"/>
    </row>
    <row r="38" s="13" customFormat="true" ht="22.5" hidden="false" customHeight="true" outlineLevel="0" collapsed="false">
      <c r="A38" s="73" t="n">
        <v>34</v>
      </c>
      <c r="B38" s="74"/>
      <c r="C38" s="82"/>
      <c r="D38" s="76"/>
      <c r="E38" s="77"/>
      <c r="F38" s="77"/>
      <c r="G38" s="78"/>
      <c r="H38" s="76" t="str">
        <f aca="true">IF(G38="","",IF(G38=1,"Completed",
IF(G38=0,"Not Started",
IF(AND(F38&lt;&gt;"",ISNUMBER(F38),F38&lt;TODAY()),"Delayed","In Progress")
)
)
)</f>
        <v/>
      </c>
      <c r="I38" s="76"/>
      <c r="J38" s="79"/>
      <c r="K38" s="76"/>
      <c r="L38" s="76"/>
      <c r="M38" s="80"/>
      <c r="N38" s="83"/>
    </row>
    <row r="39" s="13" customFormat="true" ht="22.5" hidden="false" customHeight="true" outlineLevel="0" collapsed="false">
      <c r="A39" s="73" t="n">
        <v>35</v>
      </c>
      <c r="B39" s="74"/>
      <c r="C39" s="82"/>
      <c r="D39" s="76"/>
      <c r="E39" s="77"/>
      <c r="F39" s="77"/>
      <c r="G39" s="78"/>
      <c r="H39" s="76" t="str">
        <f aca="true">IF(G39="","",IF(G39=1,"Completed",
IF(G39=0,"Not Started",
IF(AND(F39&lt;&gt;"",ISNUMBER(F39),F39&lt;TODAY()),"Delayed","In Progress")
)
)
)</f>
        <v/>
      </c>
      <c r="I39" s="76"/>
      <c r="J39" s="79"/>
      <c r="K39" s="76"/>
      <c r="L39" s="76"/>
      <c r="M39" s="80"/>
      <c r="N39" s="83"/>
    </row>
    <row r="40" s="13" customFormat="true" ht="22.5" hidden="false" customHeight="true" outlineLevel="0" collapsed="false">
      <c r="A40" s="73" t="n">
        <v>36</v>
      </c>
      <c r="B40" s="74"/>
      <c r="C40" s="82"/>
      <c r="D40" s="76"/>
      <c r="E40" s="77"/>
      <c r="F40" s="77"/>
      <c r="G40" s="78"/>
      <c r="H40" s="76" t="str">
        <f aca="true">IF(G40="","",IF(G40=1,"Completed",
IF(G40=0,"Not Started",
IF(AND(F40&lt;&gt;"",ISNUMBER(F40),F40&lt;TODAY()),"Delayed","In Progress")
)
)
)</f>
        <v/>
      </c>
      <c r="I40" s="76"/>
      <c r="J40" s="79"/>
      <c r="K40" s="76"/>
      <c r="L40" s="76"/>
      <c r="M40" s="80"/>
      <c r="N40" s="83"/>
    </row>
    <row r="41" s="13" customFormat="true" ht="22.5" hidden="false" customHeight="true" outlineLevel="0" collapsed="false">
      <c r="A41" s="73" t="n">
        <v>37</v>
      </c>
      <c r="B41" s="74"/>
      <c r="C41" s="82"/>
      <c r="D41" s="76"/>
      <c r="E41" s="77"/>
      <c r="F41" s="77"/>
      <c r="G41" s="78"/>
      <c r="H41" s="76" t="str">
        <f aca="true">IF(G41="","",IF(G41=1,"Completed",
IF(G41=0,"Not Started",
IF(AND(F41&lt;&gt;"",ISNUMBER(F41),F41&lt;TODAY()),"Delayed","In Progress")
)
)
)</f>
        <v/>
      </c>
      <c r="I41" s="76"/>
      <c r="J41" s="79"/>
      <c r="K41" s="76"/>
      <c r="L41" s="76"/>
      <c r="M41" s="80"/>
      <c r="N41" s="83"/>
    </row>
    <row r="42" s="13" customFormat="true" ht="22.5" hidden="false" customHeight="true" outlineLevel="0" collapsed="false">
      <c r="A42" s="73" t="n">
        <v>38</v>
      </c>
      <c r="B42" s="74"/>
      <c r="C42" s="82"/>
      <c r="D42" s="76"/>
      <c r="E42" s="77"/>
      <c r="F42" s="77"/>
      <c r="G42" s="78"/>
      <c r="H42" s="76" t="str">
        <f aca="true">IF(G42="","",IF(G42=1,"Completed",
IF(G42=0,"Not Started",
IF(AND(F42&lt;&gt;"",ISNUMBER(F42),F42&lt;TODAY()),"Delayed","In Progress")
)
)
)</f>
        <v/>
      </c>
      <c r="I42" s="76"/>
      <c r="J42" s="79"/>
      <c r="K42" s="76"/>
      <c r="L42" s="76"/>
      <c r="M42" s="80"/>
      <c r="N42" s="83"/>
    </row>
    <row r="43" s="13" customFormat="true" ht="22.5" hidden="false" customHeight="true" outlineLevel="0" collapsed="false">
      <c r="A43" s="73" t="n">
        <v>39</v>
      </c>
      <c r="B43" s="74"/>
      <c r="C43" s="82"/>
      <c r="D43" s="76"/>
      <c r="E43" s="77"/>
      <c r="F43" s="77"/>
      <c r="G43" s="78"/>
      <c r="H43" s="76" t="str">
        <f aca="true">IF(G43="","",IF(G43=1,"Completed",
IF(G43=0,"Not Started",
IF(AND(F43&lt;&gt;"",ISNUMBER(F43),F43&lt;TODAY()),"Delayed","In Progress")
)
)
)</f>
        <v/>
      </c>
      <c r="I43" s="76"/>
      <c r="J43" s="79"/>
      <c r="K43" s="76"/>
      <c r="L43" s="76"/>
      <c r="M43" s="80"/>
      <c r="N43" s="83"/>
    </row>
    <row r="44" s="13" customFormat="true" ht="22.5" hidden="false" customHeight="true" outlineLevel="0" collapsed="false">
      <c r="A44" s="73" t="n">
        <v>40</v>
      </c>
      <c r="B44" s="74"/>
      <c r="C44" s="82"/>
      <c r="D44" s="76"/>
      <c r="E44" s="77"/>
      <c r="F44" s="77"/>
      <c r="G44" s="78"/>
      <c r="H44" s="76" t="str">
        <f aca="true">IF(G44="","",IF(G44=1,"Completed",
IF(G44=0,"Not Started",
IF(AND(F44&lt;&gt;"",ISNUMBER(F44),F44&lt;TODAY()),"Delayed","In Progress")
)
)
)</f>
        <v/>
      </c>
      <c r="I44" s="76"/>
      <c r="J44" s="79"/>
      <c r="K44" s="76"/>
      <c r="L44" s="76"/>
      <c r="M44" s="80"/>
      <c r="N44" s="83"/>
    </row>
    <row r="45" s="13" customFormat="true" ht="22.5" hidden="false" customHeight="true" outlineLevel="0" collapsed="false">
      <c r="A45" s="73" t="n">
        <v>41</v>
      </c>
      <c r="B45" s="74"/>
      <c r="C45" s="82"/>
      <c r="D45" s="76"/>
      <c r="E45" s="77"/>
      <c r="F45" s="77"/>
      <c r="G45" s="78"/>
      <c r="H45" s="76" t="str">
        <f aca="true">IF(G45="","",IF(G45=1,"Completed",
IF(G45=0,"Not Started",
IF(AND(F45&lt;&gt;"",ISNUMBER(F45),F45&lt;TODAY()),"Delayed","In Progress")
)
)
)</f>
        <v/>
      </c>
      <c r="I45" s="76"/>
      <c r="J45" s="79"/>
      <c r="K45" s="76"/>
      <c r="L45" s="76"/>
      <c r="M45" s="80"/>
      <c r="N45" s="83"/>
    </row>
    <row r="46" s="13" customFormat="true" ht="22.5" hidden="false" customHeight="true" outlineLevel="0" collapsed="false">
      <c r="A46" s="73" t="n">
        <v>42</v>
      </c>
      <c r="B46" s="74"/>
      <c r="C46" s="82"/>
      <c r="D46" s="76"/>
      <c r="E46" s="77"/>
      <c r="F46" s="77"/>
      <c r="G46" s="78"/>
      <c r="H46" s="76" t="str">
        <f aca="true">IF(G46="","",IF(G46=1,"Completed",
IF(G46=0,"Not Started",
IF(AND(F46&lt;&gt;"",ISNUMBER(F46),F46&lt;TODAY()),"Delayed","In Progress")
)
)
)</f>
        <v/>
      </c>
      <c r="I46" s="76"/>
      <c r="J46" s="79"/>
      <c r="K46" s="76"/>
      <c r="L46" s="76"/>
      <c r="M46" s="80"/>
      <c r="N46" s="83"/>
    </row>
    <row r="47" s="13" customFormat="true" ht="22.5" hidden="false" customHeight="true" outlineLevel="0" collapsed="false">
      <c r="A47" s="73" t="n">
        <v>43</v>
      </c>
      <c r="B47" s="74"/>
      <c r="C47" s="82"/>
      <c r="D47" s="76"/>
      <c r="E47" s="77"/>
      <c r="F47" s="77"/>
      <c r="G47" s="78"/>
      <c r="H47" s="76" t="str">
        <f aca="true">IF(G47="","",IF(G47=1,"Completed",
IF(G47=0,"Not Started",
IF(AND(F47&lt;&gt;"",ISNUMBER(F47),F47&lt;TODAY()),"Delayed","In Progress")
)
)
)</f>
        <v/>
      </c>
      <c r="I47" s="76"/>
      <c r="J47" s="79"/>
      <c r="K47" s="76"/>
      <c r="L47" s="76"/>
      <c r="M47" s="80"/>
      <c r="N47" s="83"/>
    </row>
    <row r="48" s="13" customFormat="true" ht="22.5" hidden="false" customHeight="true" outlineLevel="0" collapsed="false">
      <c r="A48" s="73" t="n">
        <v>44</v>
      </c>
      <c r="B48" s="74"/>
      <c r="C48" s="82"/>
      <c r="D48" s="76"/>
      <c r="E48" s="77"/>
      <c r="F48" s="77"/>
      <c r="G48" s="78"/>
      <c r="H48" s="76" t="str">
        <f aca="true">IF(G48="","",IF(G48=1,"Completed",
IF(G48=0,"Not Started",
IF(AND(F48&lt;&gt;"",ISNUMBER(F48),F48&lt;TODAY()),"Delayed","In Progress")
)
)
)</f>
        <v/>
      </c>
      <c r="I48" s="76"/>
      <c r="J48" s="79"/>
      <c r="K48" s="76"/>
      <c r="L48" s="76"/>
      <c r="M48" s="80"/>
      <c r="N48" s="83"/>
    </row>
    <row r="49" s="13" customFormat="true" ht="22.5" hidden="false" customHeight="true" outlineLevel="0" collapsed="false">
      <c r="A49" s="73" t="n">
        <v>45</v>
      </c>
      <c r="B49" s="74"/>
      <c r="C49" s="82"/>
      <c r="D49" s="76"/>
      <c r="E49" s="77"/>
      <c r="F49" s="77"/>
      <c r="G49" s="78"/>
      <c r="H49" s="76" t="str">
        <f aca="true">IF(G49="","",IF(G49=1,"Completed",
IF(G49=0,"Not Started",
IF(AND(F49&lt;&gt;"",ISNUMBER(F49),F49&lt;TODAY()),"Delayed","In Progress")
)
)
)</f>
        <v/>
      </c>
      <c r="I49" s="76"/>
      <c r="J49" s="79"/>
      <c r="K49" s="76"/>
      <c r="L49" s="76"/>
      <c r="M49" s="80"/>
      <c r="N49" s="83"/>
    </row>
    <row r="50" s="13" customFormat="true" ht="22.5" hidden="false" customHeight="true" outlineLevel="0" collapsed="false">
      <c r="A50" s="73" t="n">
        <v>46</v>
      </c>
      <c r="B50" s="74"/>
      <c r="C50" s="82"/>
      <c r="D50" s="76"/>
      <c r="E50" s="77"/>
      <c r="F50" s="77"/>
      <c r="G50" s="78"/>
      <c r="H50" s="76" t="str">
        <f aca="true">IF(G50="","",IF(G50=1,"Completed",
IF(G50=0,"Not Started",
IF(AND(F50&lt;&gt;"",ISNUMBER(F50),F50&lt;TODAY()),"Delayed","In Progress")
)
)
)</f>
        <v/>
      </c>
      <c r="I50" s="76"/>
      <c r="J50" s="79"/>
      <c r="K50" s="76"/>
      <c r="L50" s="76"/>
      <c r="M50" s="80"/>
      <c r="N50" s="83"/>
    </row>
    <row r="51" s="13" customFormat="true" ht="22.5" hidden="false" customHeight="true" outlineLevel="0" collapsed="false">
      <c r="A51" s="73" t="n">
        <v>47</v>
      </c>
      <c r="B51" s="74"/>
      <c r="C51" s="82"/>
      <c r="D51" s="76"/>
      <c r="E51" s="77"/>
      <c r="F51" s="77"/>
      <c r="G51" s="78"/>
      <c r="H51" s="76" t="str">
        <f aca="true">IF(G51="","",IF(G51=1,"Completed",
IF(G51=0,"Not Started",
IF(AND(F51&lt;&gt;"",ISNUMBER(F51),F51&lt;TODAY()),"Delayed","In Progress")
)
)
)</f>
        <v/>
      </c>
      <c r="I51" s="76"/>
      <c r="J51" s="79"/>
      <c r="K51" s="76"/>
      <c r="L51" s="76"/>
      <c r="M51" s="80"/>
      <c r="N51" s="83"/>
    </row>
    <row r="52" s="13" customFormat="true" ht="22.5" hidden="false" customHeight="true" outlineLevel="0" collapsed="false">
      <c r="A52" s="73" t="n">
        <v>48</v>
      </c>
      <c r="B52" s="74"/>
      <c r="C52" s="82"/>
      <c r="D52" s="76"/>
      <c r="E52" s="77"/>
      <c r="F52" s="77"/>
      <c r="G52" s="78"/>
      <c r="H52" s="76" t="str">
        <f aca="true">IF(G52="","",IF(G52=1,"Completed",
IF(G52=0,"Not Started",
IF(AND(F52&lt;&gt;"",ISNUMBER(F52),F52&lt;TODAY()),"Delayed","In Progress")
)
)
)</f>
        <v/>
      </c>
      <c r="I52" s="76"/>
      <c r="J52" s="79"/>
      <c r="K52" s="76"/>
      <c r="L52" s="76"/>
      <c r="M52" s="80"/>
      <c r="N52" s="83"/>
    </row>
    <row r="53" s="13" customFormat="true" ht="22.5" hidden="false" customHeight="true" outlineLevel="0" collapsed="false">
      <c r="A53" s="73" t="n">
        <v>49</v>
      </c>
      <c r="B53" s="74"/>
      <c r="C53" s="82"/>
      <c r="D53" s="76"/>
      <c r="E53" s="77"/>
      <c r="F53" s="77"/>
      <c r="G53" s="78"/>
      <c r="H53" s="76" t="str">
        <f aca="true">IF(G53="","",IF(G53=1,"Completed",
IF(G53=0,"Not Started",
IF(AND(F53&lt;&gt;"",ISNUMBER(F53),F53&lt;TODAY()),"Delayed","In Progress")
)
)
)</f>
        <v/>
      </c>
      <c r="I53" s="76"/>
      <c r="J53" s="79"/>
      <c r="K53" s="76"/>
      <c r="L53" s="76"/>
      <c r="M53" s="80"/>
      <c r="N53" s="83"/>
    </row>
    <row r="54" s="13" customFormat="true" ht="22.5" hidden="false" customHeight="true" outlineLevel="0" collapsed="false">
      <c r="A54" s="73" t="n">
        <v>50</v>
      </c>
      <c r="B54" s="74"/>
      <c r="C54" s="82"/>
      <c r="D54" s="76"/>
      <c r="E54" s="77"/>
      <c r="F54" s="77"/>
      <c r="G54" s="78"/>
      <c r="H54" s="76" t="str">
        <f aca="true">IF(G54="","",IF(G54=1,"Completed",
IF(G54=0,"Not Started",
IF(AND(F54&lt;&gt;"",ISNUMBER(F54),F54&lt;TODAY()),"Delayed","In Progress")
)
)
)</f>
        <v/>
      </c>
      <c r="I54" s="76"/>
      <c r="J54" s="79"/>
      <c r="K54" s="76"/>
      <c r="L54" s="76"/>
      <c r="M54" s="80"/>
      <c r="N54" s="83"/>
    </row>
    <row r="55" s="13" customFormat="true" ht="22.5" hidden="false" customHeight="true" outlineLevel="0" collapsed="false">
      <c r="A55" s="73" t="n">
        <v>51</v>
      </c>
      <c r="B55" s="74"/>
      <c r="C55" s="82"/>
      <c r="D55" s="76"/>
      <c r="E55" s="77"/>
      <c r="F55" s="77"/>
      <c r="G55" s="78"/>
      <c r="H55" s="76" t="str">
        <f aca="true">IF(G55="","",IF(G55=1,"Completed",
IF(G55=0,"Not Started",
IF(AND(F55&lt;&gt;"",ISNUMBER(F55),F55&lt;TODAY()),"Delayed","In Progress")
)
)
)</f>
        <v/>
      </c>
      <c r="I55" s="76"/>
      <c r="J55" s="79"/>
      <c r="K55" s="76"/>
      <c r="L55" s="76"/>
      <c r="M55" s="80"/>
      <c r="N55" s="83"/>
    </row>
    <row r="56" s="13" customFormat="true" ht="22.5" hidden="false" customHeight="true" outlineLevel="0" collapsed="false">
      <c r="A56" s="73" t="n">
        <v>52</v>
      </c>
      <c r="B56" s="74"/>
      <c r="C56" s="82"/>
      <c r="D56" s="76"/>
      <c r="E56" s="77"/>
      <c r="F56" s="77"/>
      <c r="G56" s="78"/>
      <c r="H56" s="76" t="str">
        <f aca="true">IF(G56="","",IF(G56=1,"Completed",
IF(G56=0,"Not Started",
IF(AND(F56&lt;&gt;"",ISNUMBER(F56),F56&lt;TODAY()),"Delayed","In Progress")
)
)
)</f>
        <v/>
      </c>
      <c r="I56" s="76"/>
      <c r="J56" s="79"/>
      <c r="K56" s="76"/>
      <c r="L56" s="76"/>
      <c r="M56" s="80"/>
      <c r="N56" s="83"/>
    </row>
    <row r="57" s="13" customFormat="true" ht="22.5" hidden="false" customHeight="true" outlineLevel="0" collapsed="false">
      <c r="A57" s="73" t="n">
        <v>53</v>
      </c>
      <c r="B57" s="74"/>
      <c r="C57" s="82"/>
      <c r="D57" s="76"/>
      <c r="E57" s="77"/>
      <c r="F57" s="77"/>
      <c r="G57" s="78"/>
      <c r="H57" s="76" t="str">
        <f aca="true">IF(G57="","",IF(G57=1,"Completed",
IF(G57=0,"Not Started",
IF(AND(F57&lt;&gt;"",ISNUMBER(F57),F57&lt;TODAY()),"Delayed","In Progress")
)
)
)</f>
        <v/>
      </c>
      <c r="I57" s="76"/>
      <c r="J57" s="79"/>
      <c r="K57" s="76"/>
      <c r="L57" s="76"/>
      <c r="M57" s="80"/>
      <c r="N57" s="83"/>
    </row>
    <row r="58" s="13" customFormat="true" ht="22.5" hidden="false" customHeight="true" outlineLevel="0" collapsed="false">
      <c r="A58" s="73" t="n">
        <v>54</v>
      </c>
      <c r="B58" s="74"/>
      <c r="C58" s="82"/>
      <c r="D58" s="76"/>
      <c r="E58" s="77"/>
      <c r="F58" s="77"/>
      <c r="G58" s="78"/>
      <c r="H58" s="76" t="str">
        <f aca="true">IF(G58="","",IF(G58=1,"Completed",
IF(G58=0,"Not Started",
IF(AND(F58&lt;&gt;"",ISNUMBER(F58),F58&lt;TODAY()),"Delayed","In Progress")
)
)
)</f>
        <v/>
      </c>
      <c r="I58" s="76"/>
      <c r="J58" s="79"/>
      <c r="K58" s="76"/>
      <c r="L58" s="76"/>
      <c r="M58" s="80"/>
      <c r="N58" s="83"/>
    </row>
    <row r="59" s="13" customFormat="true" ht="22.5" hidden="false" customHeight="true" outlineLevel="0" collapsed="false">
      <c r="A59" s="73" t="n">
        <v>55</v>
      </c>
      <c r="B59" s="74"/>
      <c r="C59" s="82"/>
      <c r="D59" s="76"/>
      <c r="E59" s="77"/>
      <c r="F59" s="77"/>
      <c r="G59" s="78"/>
      <c r="H59" s="76" t="str">
        <f aca="true">IF(G59="","",IF(G59=1,"Completed",
IF(G59=0,"Not Started",
IF(AND(F59&lt;&gt;"",ISNUMBER(F59),F59&lt;TODAY()),"Delayed","In Progress")
)
)
)</f>
        <v/>
      </c>
      <c r="I59" s="76"/>
      <c r="J59" s="79"/>
      <c r="K59" s="76"/>
      <c r="L59" s="76"/>
      <c r="M59" s="80"/>
      <c r="N59" s="83"/>
    </row>
    <row r="60" s="13" customFormat="true" ht="22.5" hidden="false" customHeight="true" outlineLevel="0" collapsed="false">
      <c r="A60" s="73" t="n">
        <v>56</v>
      </c>
      <c r="B60" s="74"/>
      <c r="C60" s="82"/>
      <c r="D60" s="76"/>
      <c r="E60" s="77"/>
      <c r="F60" s="77"/>
      <c r="G60" s="78"/>
      <c r="H60" s="76" t="str">
        <f aca="true">IF(G60="","",IF(G60=1,"Completed",
IF(G60=0,"Not Started",
IF(AND(F60&lt;&gt;"",ISNUMBER(F60),F60&lt;TODAY()),"Delayed","In Progress")
)
)
)</f>
        <v/>
      </c>
      <c r="I60" s="76"/>
      <c r="J60" s="79"/>
      <c r="K60" s="76"/>
      <c r="L60" s="76"/>
      <c r="M60" s="80"/>
      <c r="N60" s="83"/>
    </row>
    <row r="61" s="13" customFormat="true" ht="22.5" hidden="false" customHeight="true" outlineLevel="0" collapsed="false">
      <c r="A61" s="73" t="n">
        <v>57</v>
      </c>
      <c r="B61" s="74"/>
      <c r="C61" s="82"/>
      <c r="D61" s="76"/>
      <c r="E61" s="77"/>
      <c r="F61" s="77"/>
      <c r="G61" s="78"/>
      <c r="H61" s="76" t="str">
        <f aca="true">IF(G61="","",IF(G61=1,"Completed",
IF(G61=0,"Not Started",
IF(AND(F61&lt;&gt;"",ISNUMBER(F61),F61&lt;TODAY()),"Delayed","In Progress")
)
)
)</f>
        <v/>
      </c>
      <c r="I61" s="76"/>
      <c r="J61" s="79"/>
      <c r="K61" s="76"/>
      <c r="L61" s="76"/>
      <c r="M61" s="80"/>
      <c r="N61" s="83"/>
    </row>
    <row r="62" s="13" customFormat="true" ht="22.5" hidden="false" customHeight="true" outlineLevel="0" collapsed="false">
      <c r="A62" s="73" t="n">
        <v>58</v>
      </c>
      <c r="B62" s="74"/>
      <c r="C62" s="82"/>
      <c r="D62" s="76"/>
      <c r="E62" s="77"/>
      <c r="F62" s="77"/>
      <c r="G62" s="78"/>
      <c r="H62" s="76" t="str">
        <f aca="true">IF(G62="","",IF(G62=1,"Completed",
IF(G62=0,"Not Started",
IF(AND(F62&lt;&gt;"",ISNUMBER(F62),F62&lt;TODAY()),"Delayed","In Progress")
)
)
)</f>
        <v/>
      </c>
      <c r="I62" s="76"/>
      <c r="J62" s="79"/>
      <c r="K62" s="76"/>
      <c r="L62" s="76"/>
      <c r="M62" s="80"/>
      <c r="N62" s="83"/>
    </row>
    <row r="63" s="13" customFormat="true" ht="22.5" hidden="false" customHeight="true" outlineLevel="0" collapsed="false">
      <c r="A63" s="73" t="n">
        <v>59</v>
      </c>
      <c r="B63" s="74"/>
      <c r="C63" s="82"/>
      <c r="D63" s="76"/>
      <c r="E63" s="77"/>
      <c r="F63" s="77"/>
      <c r="G63" s="78"/>
      <c r="H63" s="76" t="str">
        <f aca="true">IF(G63="","",IF(G63=1,"Completed",
IF(G63=0,"Not Started",
IF(AND(F63&lt;&gt;"",ISNUMBER(F63),F63&lt;TODAY()),"Delayed","In Progress")
)
)
)</f>
        <v/>
      </c>
      <c r="I63" s="76"/>
      <c r="J63" s="79"/>
      <c r="K63" s="76"/>
      <c r="L63" s="76"/>
      <c r="M63" s="80"/>
      <c r="N63" s="83"/>
    </row>
    <row r="64" s="13" customFormat="true" ht="22.5" hidden="false" customHeight="true" outlineLevel="0" collapsed="false">
      <c r="A64" s="73" t="n">
        <v>60</v>
      </c>
      <c r="B64" s="74"/>
      <c r="C64" s="82"/>
      <c r="D64" s="76"/>
      <c r="E64" s="77"/>
      <c r="F64" s="77"/>
      <c r="G64" s="78"/>
      <c r="H64" s="76" t="str">
        <f aca="true">IF(G64="","",IF(G64=1,"Completed",
IF(G64=0,"Not Started",
IF(AND(F64&lt;&gt;"",ISNUMBER(F64),F64&lt;TODAY()),"Delayed","In Progress")
)
)
)</f>
        <v/>
      </c>
      <c r="I64" s="76"/>
      <c r="J64" s="79"/>
      <c r="K64" s="76"/>
      <c r="L64" s="76"/>
      <c r="M64" s="80"/>
      <c r="N64" s="83"/>
    </row>
    <row r="65" s="13" customFormat="true" ht="22.5" hidden="false" customHeight="true" outlineLevel="0" collapsed="false">
      <c r="A65" s="73" t="n">
        <v>61</v>
      </c>
      <c r="B65" s="74"/>
      <c r="C65" s="82"/>
      <c r="D65" s="76"/>
      <c r="E65" s="77"/>
      <c r="F65" s="77"/>
      <c r="G65" s="78"/>
      <c r="H65" s="76" t="str">
        <f aca="true">IF(G65="","",IF(G65=1,"Completed",
IF(G65=0,"Not Started",
IF(AND(F65&lt;&gt;"",ISNUMBER(F65),F65&lt;TODAY()),"Delayed","In Progress")
)
)
)</f>
        <v/>
      </c>
      <c r="I65" s="76"/>
      <c r="J65" s="79"/>
      <c r="K65" s="76"/>
      <c r="L65" s="76"/>
      <c r="M65" s="80"/>
      <c r="N65" s="83"/>
    </row>
    <row r="66" s="13" customFormat="true" ht="22.5" hidden="false" customHeight="true" outlineLevel="0" collapsed="false">
      <c r="A66" s="73" t="n">
        <v>62</v>
      </c>
      <c r="B66" s="74"/>
      <c r="C66" s="82"/>
      <c r="D66" s="76"/>
      <c r="E66" s="77"/>
      <c r="F66" s="77"/>
      <c r="G66" s="78"/>
      <c r="H66" s="76" t="str">
        <f aca="true">IF(G66="","",IF(G66=1,"Completed",
IF(G66=0,"Not Started",
IF(AND(F66&lt;&gt;"",ISNUMBER(F66),F66&lt;TODAY()),"Delayed","In Progress")
)
)
)</f>
        <v/>
      </c>
      <c r="I66" s="76"/>
      <c r="J66" s="79"/>
      <c r="K66" s="76"/>
      <c r="L66" s="76"/>
      <c r="M66" s="80"/>
      <c r="N66" s="83"/>
    </row>
    <row r="67" s="13" customFormat="true" ht="22.5" hidden="false" customHeight="true" outlineLevel="0" collapsed="false">
      <c r="A67" s="73" t="n">
        <v>63</v>
      </c>
      <c r="B67" s="74"/>
      <c r="C67" s="82"/>
      <c r="D67" s="76"/>
      <c r="E67" s="77"/>
      <c r="F67" s="77"/>
      <c r="G67" s="78"/>
      <c r="H67" s="76" t="str">
        <f aca="true">IF(G67="","",IF(G67=1,"Completed",
IF(G67=0,"Not Started",
IF(AND(F67&lt;&gt;"",ISNUMBER(F67),F67&lt;TODAY()),"Delayed","In Progress")
)
)
)</f>
        <v/>
      </c>
      <c r="I67" s="76"/>
      <c r="J67" s="79"/>
      <c r="K67" s="76"/>
      <c r="L67" s="76"/>
      <c r="M67" s="80"/>
      <c r="N67" s="83"/>
    </row>
    <row r="68" s="13" customFormat="true" ht="22.5" hidden="false" customHeight="true" outlineLevel="0" collapsed="false">
      <c r="A68" s="73" t="n">
        <v>64</v>
      </c>
      <c r="B68" s="74"/>
      <c r="C68" s="82"/>
      <c r="D68" s="76"/>
      <c r="E68" s="77"/>
      <c r="F68" s="77"/>
      <c r="G68" s="78"/>
      <c r="H68" s="76" t="str">
        <f aca="true">IF(G68="","",IF(G68=1,"Completed",
IF(G68=0,"Not Started",
IF(AND(F68&lt;&gt;"",ISNUMBER(F68),F68&lt;TODAY()),"Delayed","In Progress")
)
)
)</f>
        <v/>
      </c>
      <c r="I68" s="76"/>
      <c r="J68" s="79"/>
      <c r="K68" s="76"/>
      <c r="L68" s="76"/>
      <c r="M68" s="80"/>
      <c r="N68" s="83"/>
    </row>
    <row r="69" s="13" customFormat="true" ht="22.5" hidden="false" customHeight="true" outlineLevel="0" collapsed="false">
      <c r="A69" s="73" t="n">
        <v>65</v>
      </c>
      <c r="B69" s="74"/>
      <c r="C69" s="82"/>
      <c r="D69" s="76"/>
      <c r="E69" s="77"/>
      <c r="F69" s="77"/>
      <c r="G69" s="78"/>
      <c r="H69" s="76" t="str">
        <f aca="true">IF(G69="","",IF(G69=1,"Completed",
IF(G69=0,"Not Started",
IF(AND(F69&lt;&gt;"",ISNUMBER(F69),F69&lt;TODAY()),"Delayed","In Progress")
)
)
)</f>
        <v/>
      </c>
      <c r="I69" s="76"/>
      <c r="J69" s="79"/>
      <c r="K69" s="76"/>
      <c r="L69" s="76"/>
      <c r="M69" s="80"/>
      <c r="N69" s="83"/>
    </row>
    <row r="70" s="13" customFormat="true" ht="22.5" hidden="false" customHeight="true" outlineLevel="0" collapsed="false">
      <c r="A70" s="73" t="n">
        <v>66</v>
      </c>
      <c r="B70" s="74"/>
      <c r="C70" s="82"/>
      <c r="D70" s="76"/>
      <c r="E70" s="77"/>
      <c r="F70" s="77"/>
      <c r="G70" s="78"/>
      <c r="H70" s="76" t="str">
        <f aca="true">IF(G70="","",IF(G70=1,"Completed",
  IF(G70=0,"Not Started",
   IF(AND(F70&lt;&gt;"",ISNUMBER(F70),F70&lt;TODAY()),"Delayed","In Progress")
  )
 )
)</f>
        <v/>
      </c>
      <c r="I70" s="76"/>
      <c r="J70" s="79"/>
      <c r="K70" s="76"/>
      <c r="L70" s="76"/>
      <c r="M70" s="80"/>
      <c r="N70" s="83"/>
    </row>
    <row r="71" s="13" customFormat="true" ht="22.5" hidden="false" customHeight="true" outlineLevel="0" collapsed="false">
      <c r="A71" s="73" t="n">
        <v>67</v>
      </c>
      <c r="B71" s="74"/>
      <c r="C71" s="82"/>
      <c r="D71" s="76"/>
      <c r="E71" s="77"/>
      <c r="F71" s="77"/>
      <c r="G71" s="78"/>
      <c r="H71" s="76" t="str">
        <f aca="true">IF(G71="","",IF(G71=1,"Completed",
IF(G71=0,"Not Started",
IF(AND(F71&lt;&gt;"",ISNUMBER(F71),F71&lt;TODAY()),"Delayed","In Progress")
)
)
)</f>
        <v/>
      </c>
      <c r="I71" s="76"/>
      <c r="J71" s="79"/>
      <c r="K71" s="76"/>
      <c r="L71" s="76"/>
      <c r="M71" s="80"/>
      <c r="N71" s="83"/>
    </row>
    <row r="72" s="13" customFormat="true" ht="22.5" hidden="false" customHeight="true" outlineLevel="0" collapsed="false">
      <c r="A72" s="73" t="n">
        <v>68</v>
      </c>
      <c r="B72" s="74"/>
      <c r="C72" s="82"/>
      <c r="D72" s="76"/>
      <c r="E72" s="77"/>
      <c r="F72" s="77"/>
      <c r="G72" s="78"/>
      <c r="H72" s="76" t="str">
        <f aca="true">IF(G72="","",IF(G72=1,"Completed",
IF(G72=0,"Not Started",
IF(AND(F72&lt;&gt;"",ISNUMBER(F72),F72&lt;TODAY()),"Delayed","In Progress")
)
)
)</f>
        <v/>
      </c>
      <c r="I72" s="76"/>
      <c r="J72" s="79"/>
      <c r="K72" s="76"/>
      <c r="L72" s="76"/>
      <c r="M72" s="80"/>
      <c r="N72" s="83"/>
    </row>
    <row r="73" s="13" customFormat="true" ht="22.5" hidden="false" customHeight="true" outlineLevel="0" collapsed="false">
      <c r="A73" s="73" t="n">
        <v>69</v>
      </c>
      <c r="B73" s="74"/>
      <c r="C73" s="82"/>
      <c r="D73" s="76"/>
      <c r="E73" s="77"/>
      <c r="F73" s="77"/>
      <c r="G73" s="78"/>
      <c r="H73" s="76" t="str">
        <f aca="true">IF(G73="","",IF(G73=1,"Completed",
IF(G73=0,"Not Started",
IF(AND(F73&lt;&gt;"",ISNUMBER(F73),F73&lt;TODAY()),"Delayed","In Progress")
)
)
)</f>
        <v/>
      </c>
      <c r="I73" s="76"/>
      <c r="J73" s="79"/>
      <c r="K73" s="76"/>
      <c r="L73" s="76"/>
      <c r="M73" s="80"/>
      <c r="N73" s="83"/>
    </row>
    <row r="74" s="13" customFormat="true" ht="22.5" hidden="false" customHeight="true" outlineLevel="0" collapsed="false">
      <c r="A74" s="73" t="n">
        <v>70</v>
      </c>
      <c r="B74" s="74"/>
      <c r="C74" s="82"/>
      <c r="D74" s="76"/>
      <c r="E74" s="77"/>
      <c r="F74" s="77"/>
      <c r="G74" s="78"/>
      <c r="H74" s="76" t="str">
        <f aca="true">IF(G74="","",IF(G74=1,"Completed",
IF(G74=0,"Not Started",
IF(AND(F74&lt;&gt;"",ISNUMBER(F74),F74&lt;TODAY()),"Delayed","In Progress")
)
)
)</f>
        <v/>
      </c>
      <c r="I74" s="76"/>
      <c r="J74" s="79"/>
      <c r="K74" s="76"/>
      <c r="L74" s="76"/>
      <c r="M74" s="80"/>
      <c r="N74" s="83"/>
    </row>
    <row r="75" s="13" customFormat="true" ht="22.5" hidden="false" customHeight="true" outlineLevel="0" collapsed="false">
      <c r="A75" s="73" t="n">
        <v>71</v>
      </c>
      <c r="B75" s="74"/>
      <c r="C75" s="82"/>
      <c r="D75" s="76"/>
      <c r="E75" s="77"/>
      <c r="F75" s="77"/>
      <c r="G75" s="78"/>
      <c r="H75" s="76" t="str">
        <f aca="true">IF(G75="","",IF(G75=1,"Completed",
IF(G75=0,"Not Started",
IF(AND(F75&lt;&gt;"",ISNUMBER(F75),F75&lt;TODAY()),"Delayed","In Progress")
)
)
)</f>
        <v/>
      </c>
      <c r="I75" s="76"/>
      <c r="J75" s="79"/>
      <c r="K75" s="76"/>
      <c r="L75" s="76"/>
      <c r="M75" s="80"/>
      <c r="N75" s="83"/>
    </row>
    <row r="76" s="13" customFormat="true" ht="22.5" hidden="false" customHeight="true" outlineLevel="0" collapsed="false">
      <c r="A76" s="73" t="n">
        <v>72</v>
      </c>
      <c r="B76" s="74"/>
      <c r="C76" s="82"/>
      <c r="D76" s="76"/>
      <c r="E76" s="77"/>
      <c r="F76" s="77"/>
      <c r="G76" s="78"/>
      <c r="H76" s="76" t="str">
        <f aca="true">IF(G76="","",IF(G76=1,"Completed",
IF(G76=0,"Not Started",
IF(AND(F76&lt;&gt;"",ISNUMBER(F76),F76&lt;TODAY()),"Delayed","In Progress")
)
)
)</f>
        <v/>
      </c>
      <c r="I76" s="76"/>
      <c r="J76" s="79"/>
      <c r="K76" s="76"/>
      <c r="L76" s="76"/>
      <c r="M76" s="80"/>
      <c r="N76" s="83"/>
    </row>
    <row r="77" s="13" customFormat="true" ht="22.5" hidden="false" customHeight="true" outlineLevel="0" collapsed="false">
      <c r="A77" s="73" t="n">
        <v>73</v>
      </c>
      <c r="B77" s="74"/>
      <c r="C77" s="82"/>
      <c r="D77" s="76"/>
      <c r="E77" s="77"/>
      <c r="F77" s="77"/>
      <c r="G77" s="78"/>
      <c r="H77" s="76" t="str">
        <f aca="true">IF(G77="","",IF(G77=1,"Completed",
IF(G77=0,"Not Started",
IF(AND(F77&lt;&gt;"",ISNUMBER(F77),F77&lt;TODAY()),"Delayed","In Progress")
)
)
)</f>
        <v/>
      </c>
      <c r="I77" s="76"/>
      <c r="J77" s="79"/>
      <c r="K77" s="76"/>
      <c r="L77" s="76"/>
      <c r="M77" s="80"/>
      <c r="N77" s="83"/>
    </row>
    <row r="78" s="13" customFormat="true" ht="22.5" hidden="false" customHeight="true" outlineLevel="0" collapsed="false">
      <c r="A78" s="73" t="n">
        <v>74</v>
      </c>
      <c r="B78" s="74"/>
      <c r="C78" s="82"/>
      <c r="D78" s="76"/>
      <c r="E78" s="77"/>
      <c r="F78" s="77"/>
      <c r="G78" s="78"/>
      <c r="H78" s="76" t="str">
        <f aca="true">IF(G78="","",IF(G78=1,"Completed",
IF(G78=0,"Not Started",
IF(AND(F78&lt;&gt;"",ISNUMBER(F78),F78&lt;TODAY()),"Delayed","In Progress")
)
)
)</f>
        <v/>
      </c>
      <c r="I78" s="76"/>
      <c r="J78" s="79"/>
      <c r="K78" s="76"/>
      <c r="L78" s="76"/>
      <c r="M78" s="80"/>
      <c r="N78" s="83"/>
    </row>
    <row r="79" s="13" customFormat="true" ht="22.5" hidden="false" customHeight="true" outlineLevel="0" collapsed="false">
      <c r="A79" s="73" t="n">
        <v>75</v>
      </c>
      <c r="B79" s="74"/>
      <c r="C79" s="82"/>
      <c r="D79" s="76"/>
      <c r="E79" s="77"/>
      <c r="F79" s="77"/>
      <c r="G79" s="78"/>
      <c r="H79" s="76" t="str">
        <f aca="true">IF(G79="","",IF(G79=1,"Completed",
IF(G79=0,"Not Started",
IF(AND(F79&lt;&gt;"",ISNUMBER(F79),F79&lt;TODAY()),"Delayed","In Progress")
)
)
)</f>
        <v/>
      </c>
      <c r="I79" s="76"/>
      <c r="J79" s="79"/>
      <c r="K79" s="76"/>
      <c r="L79" s="76"/>
      <c r="M79" s="80"/>
      <c r="N79" s="83"/>
    </row>
    <row r="80" s="13" customFormat="true" ht="22.5" hidden="false" customHeight="true" outlineLevel="0" collapsed="false">
      <c r="A80" s="73" t="n">
        <v>76</v>
      </c>
      <c r="B80" s="74"/>
      <c r="C80" s="82"/>
      <c r="D80" s="76"/>
      <c r="E80" s="77"/>
      <c r="F80" s="77"/>
      <c r="G80" s="78"/>
      <c r="H80" s="76" t="str">
        <f aca="true">IF(G80="","",IF(G80=1,"Completed",
IF(G80=0,"Not Started",
IF(AND(F80&lt;&gt;"",ISNUMBER(F80),F80&lt;TODAY()),"Delayed","In Progress")
)
)
)</f>
        <v/>
      </c>
      <c r="I80" s="76"/>
      <c r="J80" s="79"/>
      <c r="K80" s="76"/>
      <c r="L80" s="76"/>
      <c r="M80" s="80"/>
      <c r="N80" s="83"/>
    </row>
    <row r="81" s="13" customFormat="true" ht="22.5" hidden="false" customHeight="true" outlineLevel="0" collapsed="false">
      <c r="A81" s="73" t="n">
        <v>77</v>
      </c>
      <c r="B81" s="74"/>
      <c r="C81" s="82"/>
      <c r="D81" s="76"/>
      <c r="E81" s="77"/>
      <c r="F81" s="77"/>
      <c r="G81" s="78"/>
      <c r="H81" s="76" t="str">
        <f aca="true">IF(G81="","",IF(G81=1,"Completed",
IF(G81=0,"Not Started",
IF(AND(F81&lt;&gt;"",ISNUMBER(F81),F81&lt;TODAY()),"Delayed","In Progress")
)
)
)</f>
        <v/>
      </c>
      <c r="I81" s="76"/>
      <c r="J81" s="79"/>
      <c r="K81" s="76"/>
      <c r="L81" s="76"/>
      <c r="M81" s="80"/>
      <c r="N81" s="83"/>
    </row>
    <row r="82" s="13" customFormat="true" ht="22.5" hidden="false" customHeight="true" outlineLevel="0" collapsed="false">
      <c r="A82" s="73" t="n">
        <v>78</v>
      </c>
      <c r="B82" s="74"/>
      <c r="C82" s="82"/>
      <c r="D82" s="76"/>
      <c r="E82" s="77"/>
      <c r="F82" s="77"/>
      <c r="G82" s="78"/>
      <c r="H82" s="76" t="str">
        <f aca="true">IF(G82="","",IF(G82=1,"Completed",
IF(G82=0,"Not Started",
IF(AND(F82&lt;&gt;"",ISNUMBER(F82),F82&lt;TODAY()),"Delayed","In Progress")
)
)
)</f>
        <v/>
      </c>
      <c r="I82" s="76"/>
      <c r="J82" s="79"/>
      <c r="K82" s="76"/>
      <c r="L82" s="76"/>
      <c r="M82" s="80"/>
      <c r="N82" s="83"/>
    </row>
    <row r="83" s="13" customFormat="true" ht="22.5" hidden="false" customHeight="true" outlineLevel="0" collapsed="false">
      <c r="A83" s="73" t="n">
        <v>79</v>
      </c>
      <c r="B83" s="74"/>
      <c r="C83" s="82"/>
      <c r="D83" s="76"/>
      <c r="E83" s="77"/>
      <c r="F83" s="77"/>
      <c r="G83" s="78"/>
      <c r="H83" s="76" t="str">
        <f aca="true">IF(G83="","",IF(G83=1,"Completed",
IF(G83=0,"Not Started",
IF(AND(F83&lt;&gt;"",ISNUMBER(F83),F83&lt;TODAY()),"Delayed","In Progress")
)
)
)</f>
        <v/>
      </c>
      <c r="I83" s="76"/>
      <c r="J83" s="79"/>
      <c r="K83" s="76"/>
      <c r="L83" s="76"/>
      <c r="M83" s="80"/>
      <c r="N83" s="83"/>
    </row>
    <row r="84" s="13" customFormat="true" ht="22.5" hidden="false" customHeight="true" outlineLevel="0" collapsed="false">
      <c r="A84" s="73" t="n">
        <v>80</v>
      </c>
      <c r="B84" s="74"/>
      <c r="C84" s="82"/>
      <c r="D84" s="76"/>
      <c r="E84" s="77"/>
      <c r="F84" s="77"/>
      <c r="G84" s="78"/>
      <c r="H84" s="76" t="str">
        <f aca="true">IF(G84="","",IF(G84=1,"Completed",
IF(G84=0,"Not Started",
IF(AND(F84&lt;&gt;"",ISNUMBER(F84),F84&lt;TODAY()),"Delayed","In Progress")
)
)
)</f>
        <v/>
      </c>
      <c r="I84" s="76"/>
      <c r="J84" s="79"/>
      <c r="K84" s="76"/>
      <c r="L84" s="76"/>
      <c r="M84" s="80"/>
      <c r="N84" s="83"/>
    </row>
    <row r="85" s="13" customFormat="true" ht="22.5" hidden="false" customHeight="true" outlineLevel="0" collapsed="false">
      <c r="A85" s="73" t="n">
        <v>81</v>
      </c>
      <c r="B85" s="74"/>
      <c r="C85" s="82"/>
      <c r="D85" s="76"/>
      <c r="E85" s="77"/>
      <c r="F85" s="77"/>
      <c r="G85" s="78"/>
      <c r="H85" s="76" t="str">
        <f aca="true">IF(G85="","",IF(G85=1,"Completed",
IF(G85=0,"Not Started",
IF(AND(F85&lt;&gt;"",ISNUMBER(F85),F85&lt;TODAY()),"Delayed","In Progress")
)
)
)</f>
        <v/>
      </c>
      <c r="I85" s="76"/>
      <c r="J85" s="79"/>
      <c r="K85" s="76"/>
      <c r="L85" s="76"/>
      <c r="M85" s="80"/>
      <c r="N85" s="83"/>
    </row>
    <row r="86" s="13" customFormat="true" ht="22.5" hidden="false" customHeight="true" outlineLevel="0" collapsed="false">
      <c r="A86" s="73" t="n">
        <v>82</v>
      </c>
      <c r="B86" s="74"/>
      <c r="C86" s="82"/>
      <c r="D86" s="76"/>
      <c r="E86" s="77"/>
      <c r="F86" s="77"/>
      <c r="G86" s="78"/>
      <c r="H86" s="76" t="str">
        <f aca="true">IF(G86="","",IF(G86=1,"Completed",
IF(G86=0,"Not Started",
IF(AND(F86&lt;&gt;"",ISNUMBER(F86),F86&lt;TODAY()),"Delayed","In Progress")
)
)
)</f>
        <v/>
      </c>
      <c r="I86" s="76"/>
      <c r="J86" s="79"/>
      <c r="K86" s="76"/>
      <c r="L86" s="76"/>
      <c r="M86" s="80"/>
      <c r="N86" s="83"/>
    </row>
    <row r="87" s="13" customFormat="true" ht="22.5" hidden="false" customHeight="true" outlineLevel="0" collapsed="false">
      <c r="A87" s="73" t="n">
        <v>83</v>
      </c>
      <c r="B87" s="74"/>
      <c r="C87" s="82"/>
      <c r="D87" s="76"/>
      <c r="E87" s="77"/>
      <c r="F87" s="77"/>
      <c r="G87" s="78"/>
      <c r="H87" s="76" t="str">
        <f aca="true">IF(G87="","",IF(G87=1,"Completed",
IF(G87=0,"Not Started",
IF(AND(F87&lt;&gt;"",ISNUMBER(F87),F87&lt;TODAY()),"Delayed","In Progress")
)
)
)</f>
        <v/>
      </c>
      <c r="I87" s="76"/>
      <c r="J87" s="79"/>
      <c r="K87" s="76"/>
      <c r="L87" s="76"/>
      <c r="M87" s="80"/>
      <c r="N87" s="83"/>
    </row>
    <row r="88" s="13" customFormat="true" ht="22.5" hidden="false" customHeight="true" outlineLevel="0" collapsed="false">
      <c r="A88" s="73" t="n">
        <v>84</v>
      </c>
      <c r="B88" s="74"/>
      <c r="C88" s="82"/>
      <c r="D88" s="76"/>
      <c r="E88" s="77"/>
      <c r="F88" s="77"/>
      <c r="G88" s="78"/>
      <c r="H88" s="76" t="str">
        <f aca="true">IF(G88="","",IF(G88=1,"Completed",
IF(G88=0,"Not Started",
IF(AND(F88&lt;&gt;"",ISNUMBER(F88),F88&lt;TODAY()),"Delayed","In Progress")
)
)
)</f>
        <v/>
      </c>
      <c r="I88" s="76"/>
      <c r="J88" s="79"/>
      <c r="K88" s="76"/>
      <c r="L88" s="76"/>
      <c r="M88" s="80"/>
      <c r="N88" s="83"/>
    </row>
    <row r="89" s="13" customFormat="true" ht="22.5" hidden="false" customHeight="true" outlineLevel="0" collapsed="false">
      <c r="A89" s="73" t="n">
        <v>85</v>
      </c>
      <c r="B89" s="74"/>
      <c r="C89" s="82"/>
      <c r="D89" s="76"/>
      <c r="E89" s="77"/>
      <c r="F89" s="77"/>
      <c r="G89" s="78"/>
      <c r="H89" s="76" t="str">
        <f aca="true">IF(G89="","",IF(G89=1,"Completed",
IF(G89=0,"Not Started",
IF(AND(F89&lt;&gt;"",ISNUMBER(F89),F89&lt;TODAY()),"Delayed","In Progress")
)
)
)</f>
        <v/>
      </c>
      <c r="I89" s="76"/>
      <c r="J89" s="79"/>
      <c r="K89" s="76"/>
      <c r="L89" s="76"/>
      <c r="M89" s="80"/>
      <c r="N89" s="83"/>
    </row>
    <row r="90" s="13" customFormat="true" ht="22.5" hidden="false" customHeight="true" outlineLevel="0" collapsed="false">
      <c r="A90" s="73" t="n">
        <v>86</v>
      </c>
      <c r="B90" s="74"/>
      <c r="C90" s="82"/>
      <c r="D90" s="76"/>
      <c r="E90" s="77"/>
      <c r="F90" s="77"/>
      <c r="G90" s="78"/>
      <c r="H90" s="76" t="str">
        <f aca="true">IF(G90="","",IF(G90=1,"Completed",
IF(G90=0,"Not Started",
IF(AND(F90&lt;&gt;"",ISNUMBER(F90),F90&lt;TODAY()),"Delayed","In Progress")
)
)
)</f>
        <v/>
      </c>
      <c r="I90" s="76"/>
      <c r="J90" s="79"/>
      <c r="K90" s="76"/>
      <c r="L90" s="76"/>
      <c r="M90" s="80"/>
      <c r="N90" s="83"/>
    </row>
    <row r="91" s="13" customFormat="true" ht="22.5" hidden="false" customHeight="true" outlineLevel="0" collapsed="false">
      <c r="A91" s="73" t="n">
        <v>87</v>
      </c>
      <c r="B91" s="74"/>
      <c r="C91" s="82"/>
      <c r="D91" s="76"/>
      <c r="E91" s="77"/>
      <c r="F91" s="77"/>
      <c r="G91" s="78"/>
      <c r="H91" s="76" t="str">
        <f aca="true">IF(G91="","",IF(G91=1,"Completed",
IF(G91=0,"Not Started",
IF(AND(F91&lt;&gt;"",ISNUMBER(F91),F91&lt;TODAY()),"Delayed","In Progress")
)
)
)</f>
        <v/>
      </c>
      <c r="I91" s="76"/>
      <c r="J91" s="79"/>
      <c r="K91" s="76"/>
      <c r="L91" s="76"/>
      <c r="M91" s="80"/>
      <c r="N91" s="83"/>
    </row>
    <row r="92" s="13" customFormat="true" ht="22.5" hidden="false" customHeight="true" outlineLevel="0" collapsed="false">
      <c r="A92" s="73" t="n">
        <v>88</v>
      </c>
      <c r="B92" s="74"/>
      <c r="C92" s="82"/>
      <c r="D92" s="76"/>
      <c r="E92" s="77"/>
      <c r="F92" s="77"/>
      <c r="G92" s="78"/>
      <c r="H92" s="76" t="str">
        <f aca="true">IF(G92="","",IF(G92=1,"Completed",
IF(G92=0,"Not Started",
IF(AND(F92&lt;&gt;"",ISNUMBER(F92),F92&lt;TODAY()),"Delayed","In Progress")
)
)
)</f>
        <v/>
      </c>
      <c r="I92" s="76"/>
      <c r="J92" s="79"/>
      <c r="K92" s="76"/>
      <c r="L92" s="76"/>
      <c r="M92" s="80"/>
      <c r="N92" s="83"/>
    </row>
    <row r="93" s="13" customFormat="true" ht="22.5" hidden="false" customHeight="true" outlineLevel="0" collapsed="false">
      <c r="A93" s="73" t="n">
        <v>89</v>
      </c>
      <c r="B93" s="74"/>
      <c r="C93" s="82"/>
      <c r="D93" s="76"/>
      <c r="E93" s="77"/>
      <c r="F93" s="77"/>
      <c r="G93" s="78"/>
      <c r="H93" s="76" t="str">
        <f aca="true">IF(G93="","",IF(G93=1,"Completed",
IF(G93=0,"Not Started",
IF(AND(F93&lt;&gt;"",ISNUMBER(F93),F93&lt;TODAY()),"Delayed","In Progress")
)
)
)</f>
        <v/>
      </c>
      <c r="I93" s="76"/>
      <c r="J93" s="79"/>
      <c r="K93" s="76"/>
      <c r="L93" s="76"/>
      <c r="M93" s="80"/>
      <c r="N93" s="83"/>
    </row>
    <row r="94" s="13" customFormat="true" ht="22.5" hidden="false" customHeight="true" outlineLevel="0" collapsed="false">
      <c r="A94" s="73" t="n">
        <v>90</v>
      </c>
      <c r="B94" s="74"/>
      <c r="C94" s="82"/>
      <c r="D94" s="76"/>
      <c r="E94" s="77"/>
      <c r="F94" s="77"/>
      <c r="G94" s="78"/>
      <c r="H94" s="76" t="str">
        <f aca="true">IF(G94="","",IF(G94=1,"Completed",
IF(G94=0,"Not Started",
IF(AND(F94&lt;&gt;"",ISNUMBER(F94),F94&lt;TODAY()),"Delayed","In Progress")
)
)
)</f>
        <v/>
      </c>
      <c r="I94" s="76"/>
      <c r="J94" s="79"/>
      <c r="K94" s="76"/>
      <c r="L94" s="76"/>
      <c r="M94" s="80"/>
      <c r="N94" s="83"/>
    </row>
    <row r="95" s="13" customFormat="true" ht="22.5" hidden="false" customHeight="true" outlineLevel="0" collapsed="false">
      <c r="A95" s="73" t="n">
        <v>91</v>
      </c>
      <c r="B95" s="74"/>
      <c r="C95" s="82"/>
      <c r="D95" s="76"/>
      <c r="E95" s="77"/>
      <c r="F95" s="77"/>
      <c r="G95" s="78"/>
      <c r="H95" s="76" t="str">
        <f aca="true">IF(G95="","",IF(G95=1,"Completed",
IF(G95=0,"Not Started",
IF(AND(F95&lt;&gt;"",ISNUMBER(F95),F95&lt;TODAY()),"Delayed","In Progress")
)
)
)</f>
        <v/>
      </c>
      <c r="I95" s="76"/>
      <c r="J95" s="79"/>
      <c r="K95" s="76"/>
      <c r="L95" s="76"/>
      <c r="M95" s="80"/>
      <c r="N95" s="83"/>
    </row>
    <row r="96" s="13" customFormat="true" ht="22.5" hidden="false" customHeight="true" outlineLevel="0" collapsed="false">
      <c r="A96" s="73" t="n">
        <v>92</v>
      </c>
      <c r="B96" s="74"/>
      <c r="C96" s="82"/>
      <c r="D96" s="76"/>
      <c r="E96" s="77"/>
      <c r="F96" s="77"/>
      <c r="G96" s="78"/>
      <c r="H96" s="76" t="str">
        <f aca="true">IF(G96="","",IF(G96=1,"Completed",
IF(G96=0,"Not Started",
IF(AND(F96&lt;&gt;"",ISNUMBER(F96),F96&lt;TODAY()),"Delayed","In Progress")
)
)
)</f>
        <v/>
      </c>
      <c r="I96" s="76"/>
      <c r="J96" s="79"/>
      <c r="K96" s="76"/>
      <c r="L96" s="76"/>
      <c r="M96" s="80"/>
      <c r="N96" s="83"/>
    </row>
    <row r="97" s="13" customFormat="true" ht="22.5" hidden="false" customHeight="true" outlineLevel="0" collapsed="false">
      <c r="A97" s="73" t="n">
        <v>93</v>
      </c>
      <c r="B97" s="74"/>
      <c r="C97" s="82"/>
      <c r="D97" s="76"/>
      <c r="E97" s="77"/>
      <c r="F97" s="77"/>
      <c r="G97" s="78"/>
      <c r="H97" s="76" t="str">
        <f aca="true">IF(G97="","",IF(G97=1,"Completed",
IF(G97=0,"Not Started",
IF(AND(F97&lt;&gt;"",ISNUMBER(F97),F97&lt;TODAY()),"Delayed","In Progress")
)
)
)</f>
        <v/>
      </c>
      <c r="I97" s="76"/>
      <c r="J97" s="79"/>
      <c r="K97" s="76"/>
      <c r="L97" s="76"/>
      <c r="M97" s="80"/>
      <c r="N97" s="83"/>
    </row>
    <row r="98" s="13" customFormat="true" ht="22.5" hidden="false" customHeight="true" outlineLevel="0" collapsed="false">
      <c r="A98" s="73" t="n">
        <v>94</v>
      </c>
      <c r="B98" s="74"/>
      <c r="C98" s="82"/>
      <c r="D98" s="76"/>
      <c r="E98" s="77"/>
      <c r="F98" s="77"/>
      <c r="G98" s="78"/>
      <c r="H98" s="76" t="str">
        <f aca="true">IF(G98="","",IF(G98=1,"Completed",
IF(G98=0,"Not Started",
IF(AND(F98&lt;&gt;"",ISNUMBER(F98),F98&lt;TODAY()),"Delayed","In Progress")
)
)
)</f>
        <v/>
      </c>
      <c r="I98" s="76"/>
      <c r="J98" s="79"/>
      <c r="K98" s="76"/>
      <c r="L98" s="76"/>
      <c r="M98" s="80"/>
      <c r="N98" s="83"/>
    </row>
    <row r="99" s="13" customFormat="true" ht="22.5" hidden="false" customHeight="true" outlineLevel="0" collapsed="false">
      <c r="A99" s="73" t="n">
        <v>95</v>
      </c>
      <c r="B99" s="74"/>
      <c r="C99" s="82"/>
      <c r="D99" s="76"/>
      <c r="E99" s="77"/>
      <c r="F99" s="77"/>
      <c r="G99" s="78"/>
      <c r="H99" s="76" t="str">
        <f aca="true">IF(G99="","",IF(G99=1,"Completed",
IF(G99=0,"Not Started",
IF(AND(F99&lt;&gt;"",ISNUMBER(F99),F99&lt;TODAY()),"Delayed","In Progress")
)
)
)</f>
        <v/>
      </c>
      <c r="I99" s="76"/>
      <c r="J99" s="79"/>
      <c r="K99" s="76"/>
      <c r="L99" s="76"/>
      <c r="M99" s="80"/>
      <c r="N99" s="83"/>
    </row>
    <row r="100" s="13" customFormat="true" ht="22.5" hidden="false" customHeight="true" outlineLevel="0" collapsed="false">
      <c r="A100" s="73" t="n">
        <v>96</v>
      </c>
      <c r="B100" s="74"/>
      <c r="C100" s="82"/>
      <c r="D100" s="76"/>
      <c r="E100" s="77"/>
      <c r="F100" s="77"/>
      <c r="G100" s="78"/>
      <c r="H100" s="76" t="str">
        <f aca="true">IF(G100="","",IF(G100=1,"Completed",
IF(G100=0,"Not Started",
IF(AND(F100&lt;&gt;"",ISNUMBER(F100),F100&lt;TODAY()),"Delayed","In Progress")
)
)
)</f>
        <v/>
      </c>
      <c r="I100" s="76"/>
      <c r="J100" s="79"/>
      <c r="K100" s="76"/>
      <c r="L100" s="76"/>
      <c r="M100" s="80"/>
      <c r="N100" s="83"/>
    </row>
    <row r="101" s="13" customFormat="true" ht="22.5" hidden="false" customHeight="true" outlineLevel="0" collapsed="false">
      <c r="A101" s="73" t="n">
        <v>97</v>
      </c>
      <c r="B101" s="74"/>
      <c r="C101" s="82"/>
      <c r="D101" s="76"/>
      <c r="E101" s="77"/>
      <c r="F101" s="77"/>
      <c r="G101" s="78"/>
      <c r="H101" s="76" t="str">
        <f aca="true">IF(G101="","",IF(G101=1,"Completed",
IF(G101=0,"Not Started",
IF(AND(F101&lt;&gt;"",ISNUMBER(F101),F101&lt;TODAY()),"Delayed","In Progress")
)
)
)</f>
        <v/>
      </c>
      <c r="I101" s="76"/>
      <c r="J101" s="79"/>
      <c r="K101" s="76"/>
      <c r="L101" s="76"/>
      <c r="M101" s="80"/>
      <c r="N101" s="83"/>
    </row>
    <row r="102" s="13" customFormat="true" ht="22.5" hidden="false" customHeight="true" outlineLevel="0" collapsed="false">
      <c r="A102" s="73" t="n">
        <v>98</v>
      </c>
      <c r="B102" s="74"/>
      <c r="C102" s="82"/>
      <c r="D102" s="76"/>
      <c r="E102" s="77"/>
      <c r="F102" s="77"/>
      <c r="G102" s="78"/>
      <c r="H102" s="76" t="str">
        <f aca="true">IF(G102="","",IF(G102=1,"Completed",
IF(G102=0,"Not Started",
IF(AND(F102&lt;&gt;"",ISNUMBER(F102),F102&lt;TODAY()),"Delayed","In Progress")
)
)
)</f>
        <v/>
      </c>
      <c r="I102" s="76"/>
      <c r="J102" s="79"/>
      <c r="K102" s="76"/>
      <c r="L102" s="76"/>
      <c r="M102" s="80"/>
      <c r="N102" s="83"/>
    </row>
    <row r="103" s="13" customFormat="true" ht="22.5" hidden="false" customHeight="true" outlineLevel="0" collapsed="false">
      <c r="A103" s="73" t="n">
        <v>99</v>
      </c>
      <c r="B103" s="74"/>
      <c r="C103" s="82"/>
      <c r="D103" s="76"/>
      <c r="E103" s="77"/>
      <c r="F103" s="77"/>
      <c r="G103" s="78"/>
      <c r="H103" s="76" t="str">
        <f aca="true">IF(G103="","",IF(G103=1,"Completed",
IF(G103=0,"Not Started",
IF(AND(F103&lt;&gt;"",ISNUMBER(F103),F103&lt;TODAY()),"Delayed","In Progress")
)
)
)</f>
        <v/>
      </c>
      <c r="I103" s="76"/>
      <c r="J103" s="79"/>
      <c r="K103" s="76"/>
      <c r="L103" s="76"/>
      <c r="M103" s="80"/>
      <c r="N103" s="83"/>
    </row>
    <row r="104" s="13" customFormat="true" ht="22.5" hidden="false" customHeight="true" outlineLevel="0" collapsed="false">
      <c r="A104" s="73" t="n">
        <v>100</v>
      </c>
      <c r="B104" s="74"/>
      <c r="C104" s="82"/>
      <c r="D104" s="76"/>
      <c r="E104" s="77"/>
      <c r="F104" s="77"/>
      <c r="G104" s="78"/>
      <c r="H104" s="76" t="str">
        <f aca="true">IF(G104="","",IF(G104=1,"Completed",
IF(G104=0,"Not Started",
IF(AND(F104&lt;&gt;"",ISNUMBER(F104),F104&lt;TODAY()),"Delayed","In Progress")
)
)
)</f>
        <v/>
      </c>
      <c r="I104" s="76"/>
      <c r="J104" s="79"/>
      <c r="K104" s="76"/>
      <c r="L104" s="76"/>
      <c r="M104" s="80"/>
      <c r="N104" s="83"/>
    </row>
    <row r="105" s="13" customFormat="true" ht="22.5" hidden="false" customHeight="true" outlineLevel="0" collapsed="false">
      <c r="A105" s="73" t="n">
        <v>101</v>
      </c>
      <c r="B105" s="74"/>
      <c r="C105" s="82"/>
      <c r="D105" s="76"/>
      <c r="E105" s="77"/>
      <c r="F105" s="77"/>
      <c r="G105" s="78"/>
      <c r="H105" s="76" t="str">
        <f aca="true">IF(G105="","",IF(G105=1,"Completed",
IF(G105=0,"Not Started",
IF(AND(F105&lt;&gt;"",ISNUMBER(F105),F105&lt;TODAY()),"Delayed","In Progress")
)
)
)</f>
        <v/>
      </c>
      <c r="I105" s="76"/>
      <c r="J105" s="79"/>
      <c r="K105" s="76"/>
      <c r="L105" s="76"/>
      <c r="M105" s="80"/>
      <c r="N105" s="83"/>
    </row>
    <row r="106" s="13" customFormat="true" ht="22.5" hidden="false" customHeight="true" outlineLevel="0" collapsed="false">
      <c r="A106" s="73" t="n">
        <v>102</v>
      </c>
      <c r="B106" s="74"/>
      <c r="C106" s="82"/>
      <c r="D106" s="76"/>
      <c r="E106" s="77"/>
      <c r="F106" s="77"/>
      <c r="G106" s="78"/>
      <c r="H106" s="76" t="str">
        <f aca="true">IF(G106="","",IF(G106=1,"Completed",
IF(G106=0,"Not Started",
IF(AND(F106&lt;&gt;"",ISNUMBER(F106),F106&lt;TODAY()),"Delayed","In Progress")
)
)
)</f>
        <v/>
      </c>
      <c r="I106" s="76"/>
      <c r="J106" s="79"/>
      <c r="K106" s="76"/>
      <c r="L106" s="76"/>
      <c r="M106" s="80"/>
      <c r="N106" s="83"/>
    </row>
    <row r="107" s="13" customFormat="true" ht="22.5" hidden="false" customHeight="true" outlineLevel="0" collapsed="false">
      <c r="A107" s="73" t="n">
        <v>103</v>
      </c>
      <c r="B107" s="74"/>
      <c r="C107" s="82"/>
      <c r="D107" s="76"/>
      <c r="E107" s="77"/>
      <c r="F107" s="77"/>
      <c r="G107" s="78"/>
      <c r="H107" s="76" t="str">
        <f aca="true">IF(G107="","",IF(G107=1,"Completed",
IF(G107=0,"Not Started",
IF(AND(F107&lt;&gt;"",ISNUMBER(F107),F107&lt;TODAY()),"Delayed","In Progress")
)
)
)</f>
        <v/>
      </c>
      <c r="I107" s="76"/>
      <c r="J107" s="79"/>
      <c r="K107" s="76"/>
      <c r="L107" s="76"/>
      <c r="M107" s="80"/>
      <c r="N107" s="83"/>
    </row>
    <row r="108" s="13" customFormat="true" ht="22.5" hidden="false" customHeight="true" outlineLevel="0" collapsed="false">
      <c r="A108" s="73" t="n">
        <v>104</v>
      </c>
      <c r="B108" s="86"/>
      <c r="C108" s="87"/>
      <c r="D108" s="88"/>
      <c r="E108" s="89"/>
      <c r="F108" s="89"/>
      <c r="G108" s="90"/>
      <c r="H108" s="76" t="str">
        <f aca="true">IF(G108="","",IF(G108=1,"Completed",
IF(G108=0,"Not Started",
IF(AND(F108&lt;&gt;"",ISNUMBER(F108),F108&lt;TODAY()),"Delayed","In Progress")
)
)
)</f>
        <v/>
      </c>
      <c r="I108" s="88"/>
      <c r="J108" s="91"/>
      <c r="K108" s="88"/>
      <c r="L108" s="88"/>
      <c r="M108" s="92"/>
      <c r="N108" s="93"/>
    </row>
    <row r="109" s="13" customFormat="true" ht="22.5" hidden="false" customHeight="true" outlineLevel="0" collapsed="false">
      <c r="A109" s="94"/>
      <c r="B109" s="95"/>
      <c r="C109" s="84"/>
      <c r="D109" s="76"/>
      <c r="E109" s="77"/>
      <c r="F109" s="77"/>
      <c r="G109" s="78"/>
      <c r="H109" s="76" t="str">
        <f aca="true">IF(G109="","",IF(G109=1,"Completed",
IF(G109=0,"Not Started",
IF(AND(F109&lt;&gt;"",ISNUMBER(F109),F109&lt;TODAY()),"Delayed","In Progress")
)
)
)</f>
        <v/>
      </c>
      <c r="I109" s="76"/>
      <c r="J109" s="76"/>
      <c r="K109" s="76"/>
      <c r="L109" s="76"/>
      <c r="M109" s="80"/>
      <c r="N109" s="96"/>
    </row>
    <row r="110" s="13" customFormat="true" ht="22.5" hidden="false" customHeight="true" outlineLevel="0" collapsed="false">
      <c r="A110" s="94"/>
      <c r="B110" s="95"/>
      <c r="C110" s="84"/>
      <c r="D110" s="76"/>
      <c r="E110" s="77"/>
      <c r="F110" s="77"/>
      <c r="G110" s="78"/>
      <c r="H110" s="76" t="str">
        <f aca="true">IF(G110="","",IF(G110=1,"Completed",
IF(G110=0,"Not Started",
IF(AND(F110&lt;&gt;"",ISNUMBER(F110),F110&lt;TODAY()),"Delayed","In Progress")
)
)
)</f>
        <v/>
      </c>
      <c r="I110" s="76"/>
      <c r="J110" s="76"/>
      <c r="K110" s="76"/>
      <c r="L110" s="76"/>
      <c r="M110" s="80"/>
      <c r="N110" s="96"/>
    </row>
    <row r="111" s="13" customFormat="true" ht="22.5" hidden="false" customHeight="true" outlineLevel="0" collapsed="false">
      <c r="A111" s="94"/>
      <c r="B111" s="95"/>
      <c r="C111" s="84"/>
      <c r="D111" s="76"/>
      <c r="E111" s="77"/>
      <c r="F111" s="77"/>
      <c r="G111" s="78"/>
      <c r="H111" s="76" t="str">
        <f aca="true">IF(G111="","",IF(G111=1,"Completed",
IF(G111=0,"Not Started",
IF(AND(F111&lt;&gt;"",ISNUMBER(F111),F111&lt;TODAY()),"Delayed","In Progress")
)
)
)</f>
        <v/>
      </c>
      <c r="I111" s="76"/>
      <c r="J111" s="76"/>
      <c r="K111" s="76"/>
      <c r="L111" s="76"/>
      <c r="M111" s="80"/>
      <c r="N111" s="96"/>
    </row>
    <row r="112" s="13" customFormat="true" ht="22.5" hidden="false" customHeight="true" outlineLevel="0" collapsed="false">
      <c r="A112" s="94"/>
      <c r="B112" s="95"/>
      <c r="C112" s="84"/>
      <c r="D112" s="76"/>
      <c r="E112" s="77"/>
      <c r="F112" s="77"/>
      <c r="G112" s="78"/>
      <c r="H112" s="76" t="str">
        <f aca="true">IF(G112="","",IF(G112=1,"Completed",
IF(G112=0,"Not Started",
IF(AND(F112&lt;&gt;"",ISNUMBER(F112),F112&lt;TODAY()),"Delayed","In Progress")
)
)
)</f>
        <v/>
      </c>
      <c r="I112" s="76"/>
      <c r="J112" s="76"/>
      <c r="K112" s="76"/>
      <c r="L112" s="76"/>
      <c r="M112" s="80"/>
      <c r="N112" s="96"/>
    </row>
    <row r="113" s="13" customFormat="true" ht="22.5" hidden="false" customHeight="true" outlineLevel="0" collapsed="false">
      <c r="A113" s="94"/>
      <c r="B113" s="95"/>
      <c r="C113" s="84"/>
      <c r="D113" s="76"/>
      <c r="E113" s="77"/>
      <c r="F113" s="77"/>
      <c r="G113" s="78"/>
      <c r="H113" s="76" t="str">
        <f aca="true">IF(G113="","",IF(G113=1,"Completed",
IF(G113=0,"Not Started",
IF(AND(F113&lt;&gt;"",ISNUMBER(F113),F113&lt;TODAY()),"Delayed","In Progress")
)
)
)</f>
        <v/>
      </c>
      <c r="I113" s="76"/>
      <c r="J113" s="76"/>
      <c r="K113" s="76"/>
      <c r="L113" s="76"/>
      <c r="M113" s="80"/>
      <c r="N113" s="96"/>
    </row>
    <row r="114" s="13" customFormat="true" ht="22.5" hidden="false" customHeight="true" outlineLevel="0" collapsed="false">
      <c r="A114" s="94"/>
      <c r="B114" s="95"/>
      <c r="C114" s="84"/>
      <c r="D114" s="76"/>
      <c r="E114" s="77"/>
      <c r="F114" s="77"/>
      <c r="G114" s="78"/>
      <c r="H114" s="76" t="str">
        <f aca="true">IF(G114="","",IF(G114=1,"Completed",
IF(G114=0,"Not Started",
IF(AND(F114&lt;&gt;"",ISNUMBER(F114),F114&lt;TODAY()),"Delayed","In Progress")
)
)
)</f>
        <v/>
      </c>
      <c r="I114" s="76"/>
      <c r="J114" s="76"/>
      <c r="K114" s="76"/>
      <c r="L114" s="76"/>
      <c r="M114" s="80"/>
      <c r="N114" s="96"/>
    </row>
    <row r="115" s="13" customFormat="true" ht="22.5" hidden="false" customHeight="true" outlineLevel="0" collapsed="false">
      <c r="A115" s="94"/>
      <c r="B115" s="95"/>
      <c r="C115" s="84"/>
      <c r="D115" s="76"/>
      <c r="E115" s="77"/>
      <c r="F115" s="77"/>
      <c r="G115" s="78"/>
      <c r="H115" s="76" t="str">
        <f aca="true">IF(G115="","",IF(G115=1,"Completed",
IF(G115=0,"Not Started",
IF(AND(F115&lt;&gt;"",ISNUMBER(F115),F115&lt;TODAY()),"Delayed","In Progress")
)
)
)</f>
        <v/>
      </c>
      <c r="I115" s="76"/>
      <c r="J115" s="76"/>
      <c r="K115" s="76"/>
      <c r="L115" s="76"/>
      <c r="M115" s="80"/>
      <c r="N115" s="96"/>
    </row>
    <row r="116" s="13" customFormat="true" ht="22.5" hidden="false" customHeight="true" outlineLevel="0" collapsed="false">
      <c r="A116" s="94"/>
      <c r="B116" s="95"/>
      <c r="C116" s="84"/>
      <c r="D116" s="76"/>
      <c r="E116" s="77"/>
      <c r="F116" s="77"/>
      <c r="G116" s="78"/>
      <c r="H116" s="76" t="str">
        <f aca="true">IF(G116="","",IF(G116=1,"Completed",
IF(G116=0,"Not Started",
IF(AND(F116&lt;&gt;"",ISNUMBER(F116),F116&lt;TODAY()),"Delayed","In Progress")
)
)
)</f>
        <v/>
      </c>
      <c r="I116" s="76"/>
      <c r="J116" s="76"/>
      <c r="K116" s="76"/>
      <c r="L116" s="76"/>
      <c r="M116" s="80"/>
      <c r="N116" s="96"/>
    </row>
    <row r="117" s="13" customFormat="true" ht="22.5" hidden="false" customHeight="true" outlineLevel="0" collapsed="false">
      <c r="A117" s="94"/>
      <c r="B117" s="95"/>
      <c r="C117" s="84"/>
      <c r="D117" s="76"/>
      <c r="E117" s="77"/>
      <c r="F117" s="77"/>
      <c r="G117" s="78"/>
      <c r="H117" s="76" t="str">
        <f aca="true">IF(G117="","",IF(G117=1,"Completed",
IF(G117=0,"Not Started",
IF(AND(F117&lt;&gt;"",ISNUMBER(F117),F117&lt;TODAY()),"Delayed","In Progress")
)
)
)</f>
        <v/>
      </c>
      <c r="I117" s="76"/>
      <c r="J117" s="76"/>
      <c r="K117" s="76"/>
      <c r="L117" s="76"/>
      <c r="M117" s="80"/>
      <c r="N117" s="96"/>
    </row>
    <row r="118" s="13" customFormat="true" ht="22.5" hidden="false" customHeight="true" outlineLevel="0" collapsed="false">
      <c r="A118" s="94"/>
      <c r="B118" s="95"/>
      <c r="C118" s="84"/>
      <c r="D118" s="76"/>
      <c r="E118" s="77"/>
      <c r="F118" s="77"/>
      <c r="G118" s="78"/>
      <c r="H118" s="76" t="str">
        <f aca="true">IF(G118="","",IF(G118=1,"Completed",
IF(G118=0,"Not Started",
IF(AND(F118&lt;&gt;"",ISNUMBER(F118),F118&lt;TODAY()),"Delayed","In Progress")
)
)
)</f>
        <v/>
      </c>
      <c r="I118" s="76"/>
      <c r="J118" s="76"/>
      <c r="K118" s="76"/>
      <c r="L118" s="76"/>
      <c r="M118" s="80"/>
      <c r="N118" s="96"/>
      <c r="BG118" s="13" t="s">
        <v>136</v>
      </c>
    </row>
    <row r="119" customFormat="false" ht="24.75" hidden="false" customHeight="true" outlineLevel="0" collapsed="false">
      <c r="A119" s="94"/>
      <c r="B119" s="95"/>
      <c r="C119" s="84"/>
      <c r="D119" s="76"/>
      <c r="E119" s="77"/>
      <c r="F119" s="77"/>
      <c r="G119" s="78"/>
      <c r="H119" s="76" t="str">
        <f aca="true">IF(G119="","",IF(G119=1,"Completed",
IF(G119=0,"Not Started",
IF(AND(F119&lt;&gt;"",ISNUMBER(F119),F119&lt;TODAY()),"Delayed","In Progress")
)
)
)</f>
        <v/>
      </c>
      <c r="I119" s="76"/>
      <c r="J119" s="76"/>
      <c r="K119" s="76"/>
      <c r="L119" s="76"/>
      <c r="M119" s="80"/>
      <c r="N119" s="96"/>
      <c r="BG119" s="71"/>
      <c r="BH119" s="97" t="s">
        <v>137</v>
      </c>
      <c r="BI119" s="97" t="s">
        <v>138</v>
      </c>
    </row>
    <row r="120" customFormat="false" ht="24.75" hidden="false" customHeight="true" outlineLevel="0" collapsed="false">
      <c r="A120" s="94"/>
      <c r="B120" s="95"/>
      <c r="C120" s="84"/>
      <c r="D120" s="76"/>
      <c r="E120" s="77"/>
      <c r="F120" s="77"/>
      <c r="G120" s="78"/>
      <c r="H120" s="76" t="str">
        <f aca="true">IF(G120="","",IF(G120=1,"Completed",
IF(G120=0,"Not Started",
IF(AND(F120&lt;&gt;"",ISNUMBER(F120),F120&lt;TODAY()),"Delayed","In Progress")
)
)
)</f>
        <v/>
      </c>
      <c r="I120" s="76"/>
      <c r="J120" s="76"/>
      <c r="K120" s="76"/>
      <c r="L120" s="76"/>
      <c r="M120" s="80"/>
      <c r="N120" s="96"/>
      <c r="BG120" s="71" t="s">
        <v>20</v>
      </c>
      <c r="BH120" s="98" t="n">
        <f aca="false">COUNTIF(H5:H816,"Completed")</f>
        <v>7</v>
      </c>
      <c r="BI120" s="99" t="n">
        <f aca="false">BH120/BH124</f>
        <v>0.4375</v>
      </c>
    </row>
    <row r="121" customFormat="false" ht="24.75" hidden="false" customHeight="true" outlineLevel="0" collapsed="false">
      <c r="A121" s="94"/>
      <c r="B121" s="95"/>
      <c r="C121" s="84"/>
      <c r="D121" s="76"/>
      <c r="E121" s="77"/>
      <c r="F121" s="77"/>
      <c r="G121" s="78"/>
      <c r="H121" s="76" t="str">
        <f aca="true">IF(G121="","",IF(G121=1,"Completed",
IF(G121=0,"Not Started",
IF(AND(F121&lt;&gt;"",ISNUMBER(F121),F121&lt;TODAY()),"Delayed","In Progress")
)
)
)</f>
        <v/>
      </c>
      <c r="I121" s="76"/>
      <c r="J121" s="76"/>
      <c r="K121" s="76"/>
      <c r="L121" s="76"/>
      <c r="M121" s="80"/>
      <c r="N121" s="96"/>
      <c r="BG121" s="71" t="s">
        <v>21</v>
      </c>
      <c r="BH121" s="98" t="n">
        <f aca="false">COUNTIF(H5:H816,"In Progress")</f>
        <v>6</v>
      </c>
      <c r="BI121" s="99" t="n">
        <f aca="false">BH121/BH124</f>
        <v>0.375</v>
      </c>
    </row>
    <row r="122" customFormat="false" ht="24.75" hidden="false" customHeight="true" outlineLevel="0" collapsed="false">
      <c r="A122" s="94"/>
      <c r="B122" s="95"/>
      <c r="C122" s="84"/>
      <c r="D122" s="76"/>
      <c r="E122" s="77"/>
      <c r="F122" s="77"/>
      <c r="G122" s="78"/>
      <c r="H122" s="76" t="str">
        <f aca="true">IF(G122="","",IF(G122=1,"Completed",
IF(G122=0,"Not Started",
IF(AND(F122&lt;&gt;"",ISNUMBER(F122),F122&lt;TODAY()),"Delayed","In Progress")
)
)
)</f>
        <v/>
      </c>
      <c r="I122" s="76"/>
      <c r="J122" s="76"/>
      <c r="K122" s="76"/>
      <c r="L122" s="76"/>
      <c r="M122" s="80"/>
      <c r="N122" s="96"/>
      <c r="BG122" s="71" t="s">
        <v>23</v>
      </c>
      <c r="BH122" s="98" t="n">
        <f aca="false">COUNTIF(H5:H816,"Delayed")</f>
        <v>3</v>
      </c>
      <c r="BI122" s="99" t="n">
        <f aca="false">BH122/BH124</f>
        <v>0.1875</v>
      </c>
    </row>
    <row r="123" customFormat="false" ht="24.75" hidden="false" customHeight="true" outlineLevel="0" collapsed="false">
      <c r="A123" s="94"/>
      <c r="B123" s="95"/>
      <c r="C123" s="84"/>
      <c r="D123" s="76"/>
      <c r="E123" s="77"/>
      <c r="F123" s="77"/>
      <c r="G123" s="78"/>
      <c r="H123" s="76" t="str">
        <f aca="true">IF(G123="","",IF(G123=1,"Completed",
IF(G123=0,"Not Started",
IF(AND(F123&lt;&gt;"",ISNUMBER(F123),F123&lt;TODAY()),"Delayed","In Progress")
)
)
)</f>
        <v/>
      </c>
      <c r="I123" s="76"/>
      <c r="J123" s="76"/>
      <c r="K123" s="76"/>
      <c r="L123" s="76"/>
      <c r="M123" s="80"/>
      <c r="N123" s="96"/>
      <c r="BG123" s="71" t="s">
        <v>24</v>
      </c>
      <c r="BH123" s="98" t="n">
        <f aca="false">COUNTIF(H5:H816,"Not Started")</f>
        <v>0</v>
      </c>
      <c r="BI123" s="99" t="n">
        <f aca="false">BH123/BH124</f>
        <v>0</v>
      </c>
    </row>
    <row r="124" customFormat="false" ht="24.75" hidden="false" customHeight="true" outlineLevel="0" collapsed="false">
      <c r="A124" s="94"/>
      <c r="B124" s="95"/>
      <c r="C124" s="84"/>
      <c r="D124" s="76"/>
      <c r="E124" s="77"/>
      <c r="F124" s="77"/>
      <c r="G124" s="78"/>
      <c r="H124" s="76" t="str">
        <f aca="true">IF(G124="","",IF(G124=1,"Completed",
IF(G124=0,"Not Started",
IF(AND(F124&lt;&gt;"",ISNUMBER(F124),F124&lt;TODAY()),"Delayed","In Progress")
)
)
)</f>
        <v/>
      </c>
      <c r="I124" s="76"/>
      <c r="J124" s="76"/>
      <c r="K124" s="76"/>
      <c r="L124" s="76"/>
      <c r="M124" s="80"/>
      <c r="N124" s="96"/>
      <c r="BG124" s="100" t="s">
        <v>139</v>
      </c>
      <c r="BH124" s="101" t="n">
        <f aca="false">SUM(BH120:BH123)</f>
        <v>16</v>
      </c>
      <c r="BI124" s="102"/>
    </row>
    <row r="125" customFormat="false" ht="22.5" hidden="false" customHeight="true" outlineLevel="0" collapsed="false">
      <c r="A125" s="94"/>
      <c r="B125" s="95"/>
      <c r="C125" s="84"/>
      <c r="D125" s="76"/>
      <c r="E125" s="77"/>
      <c r="F125" s="77"/>
      <c r="G125" s="78"/>
      <c r="H125" s="76" t="str">
        <f aca="true">IF(G125="","",IF(G125=1,"Completed",
IF(G125=0,"Not Started",
IF(AND(F125&lt;&gt;"",ISNUMBER(F125),F125&lt;TODAY()),"Delayed","In Progress")
)
)
)</f>
        <v/>
      </c>
      <c r="I125" s="76"/>
      <c r="J125" s="76"/>
      <c r="K125" s="76"/>
      <c r="L125" s="76"/>
      <c r="M125" s="80"/>
      <c r="N125" s="96"/>
    </row>
    <row r="126" customFormat="false" ht="22.5" hidden="false" customHeight="true" outlineLevel="0" collapsed="false">
      <c r="A126" s="94"/>
      <c r="B126" s="95"/>
      <c r="C126" s="84"/>
      <c r="D126" s="76"/>
      <c r="E126" s="77"/>
      <c r="F126" s="77"/>
      <c r="G126" s="78"/>
      <c r="H126" s="76" t="str">
        <f aca="true">IF(G126="","",IF(G126=1,"Completed",
IF(G126=0,"Not Started",
IF(AND(F126&lt;&gt;"",ISNUMBER(F126),F126&lt;TODAY()),"Delayed","In Progress")
)
)
)</f>
        <v/>
      </c>
      <c r="I126" s="76"/>
      <c r="J126" s="76"/>
      <c r="K126" s="76"/>
      <c r="L126" s="76"/>
      <c r="M126" s="80"/>
      <c r="N126" s="96"/>
    </row>
    <row r="127" customFormat="false" ht="22.5" hidden="false" customHeight="true" outlineLevel="0" collapsed="false">
      <c r="A127" s="94"/>
      <c r="B127" s="95"/>
      <c r="C127" s="84"/>
      <c r="D127" s="76"/>
      <c r="E127" s="77"/>
      <c r="F127" s="77"/>
      <c r="G127" s="78"/>
      <c r="H127" s="76" t="str">
        <f aca="true">IF(G127="","",IF(G127=1,"Completed",
IF(G127=0,"Not Started",
IF(AND(F127&lt;&gt;"",ISNUMBER(F127),F127&lt;TODAY()),"Delayed","In Progress")
)
)
)</f>
        <v/>
      </c>
      <c r="I127" s="76"/>
      <c r="J127" s="76"/>
      <c r="K127" s="76"/>
      <c r="L127" s="76"/>
      <c r="M127" s="80"/>
      <c r="N127" s="96"/>
    </row>
    <row r="128" customFormat="false" ht="22.5" hidden="false" customHeight="true" outlineLevel="0" collapsed="false">
      <c r="A128" s="94"/>
      <c r="B128" s="95"/>
      <c r="C128" s="84"/>
      <c r="D128" s="76"/>
      <c r="E128" s="77"/>
      <c r="F128" s="77"/>
      <c r="G128" s="78"/>
      <c r="H128" s="76" t="str">
        <f aca="true">IF(G128="","",IF(G128=1,"Completed",
IF(G128=0,"Not Started",
IF(AND(F128&lt;&gt;"",ISNUMBER(F128),F128&lt;TODAY()),"Delayed","In Progress")
)
)
)</f>
        <v/>
      </c>
      <c r="I128" s="76"/>
      <c r="J128" s="76"/>
      <c r="K128" s="76"/>
      <c r="L128" s="76"/>
      <c r="M128" s="80"/>
      <c r="N128" s="96"/>
    </row>
    <row r="129" customFormat="false" ht="22.5" hidden="false" customHeight="true" outlineLevel="0" collapsed="false">
      <c r="A129" s="94"/>
      <c r="B129" s="95"/>
      <c r="C129" s="84"/>
      <c r="D129" s="76"/>
      <c r="E129" s="77"/>
      <c r="F129" s="77"/>
      <c r="G129" s="78"/>
      <c r="H129" s="76" t="str">
        <f aca="true">IF(G129="","",IF(G129=1,"Completed",
IF(G129=0,"Not Started",
IF(AND(F129&lt;&gt;"",ISNUMBER(F129),F129&lt;TODAY()),"Delayed","In Progress")
)
)
)</f>
        <v/>
      </c>
      <c r="I129" s="76"/>
      <c r="J129" s="76"/>
      <c r="K129" s="76"/>
      <c r="L129" s="76"/>
      <c r="M129" s="80"/>
      <c r="N129" s="96"/>
    </row>
    <row r="130" customFormat="false" ht="22.5" hidden="false" customHeight="true" outlineLevel="0" collapsed="false">
      <c r="A130" s="94"/>
      <c r="B130" s="95"/>
      <c r="C130" s="84"/>
      <c r="D130" s="76"/>
      <c r="E130" s="77"/>
      <c r="F130" s="77"/>
      <c r="G130" s="78"/>
      <c r="H130" s="76" t="str">
        <f aca="true">IF(G130="","",IF(G130=1,"Completed",
IF(G130=0,"Not Started",
IF(AND(F130&lt;&gt;"",ISNUMBER(F130),F130&lt;TODAY()),"Delayed","In Progress")
)
)
)</f>
        <v/>
      </c>
      <c r="I130" s="76"/>
      <c r="J130" s="76"/>
      <c r="K130" s="76"/>
      <c r="L130" s="76"/>
      <c r="M130" s="80"/>
      <c r="N130" s="96"/>
    </row>
    <row r="131" customFormat="false" ht="22.5" hidden="false" customHeight="true" outlineLevel="0" collapsed="false">
      <c r="A131" s="94"/>
      <c r="B131" s="95"/>
      <c r="C131" s="84"/>
      <c r="D131" s="76"/>
      <c r="E131" s="77"/>
      <c r="F131" s="77"/>
      <c r="G131" s="78"/>
      <c r="H131" s="76" t="str">
        <f aca="true">IF(G131="","",IF(G131=1,"Completed",
IF(G131=0,"Not Started",
IF(AND(F131&lt;&gt;"",ISNUMBER(F131),F131&lt;TODAY()),"Delayed","In Progress")
)
)
)</f>
        <v/>
      </c>
      <c r="I131" s="76"/>
      <c r="J131" s="76"/>
      <c r="K131" s="76"/>
      <c r="L131" s="76"/>
      <c r="M131" s="80"/>
      <c r="N131" s="96"/>
    </row>
    <row r="132" customFormat="false" ht="22.5" hidden="false" customHeight="true" outlineLevel="0" collapsed="false">
      <c r="A132" s="94"/>
      <c r="B132" s="95"/>
      <c r="C132" s="84"/>
      <c r="D132" s="76"/>
      <c r="E132" s="77"/>
      <c r="F132" s="77"/>
      <c r="G132" s="78"/>
      <c r="H132" s="76" t="str">
        <f aca="true">IF(G132="","",IF(G132=1,"Completed",
IF(G132=0,"Not Started",
IF(AND(F132&lt;&gt;"",ISNUMBER(F132),F132&lt;TODAY()),"Delayed","In Progress")
)
)
)</f>
        <v/>
      </c>
      <c r="I132" s="76"/>
      <c r="J132" s="76"/>
      <c r="K132" s="76"/>
      <c r="L132" s="76"/>
      <c r="M132" s="80"/>
      <c r="N132" s="96"/>
    </row>
    <row r="133" customFormat="false" ht="22.5" hidden="false" customHeight="true" outlineLevel="0" collapsed="false">
      <c r="A133" s="94"/>
      <c r="B133" s="95"/>
      <c r="C133" s="84"/>
      <c r="D133" s="76"/>
      <c r="E133" s="77"/>
      <c r="F133" s="77"/>
      <c r="G133" s="78"/>
      <c r="H133" s="76" t="str">
        <f aca="true">IF(G133="","",IF(G133=1,"Completed",
IF(G133=0,"Not Started",
IF(AND(F133&lt;&gt;"",ISNUMBER(F133),F133&lt;TODAY()),"Delayed","In Progress")
)
)
)</f>
        <v/>
      </c>
      <c r="I133" s="76"/>
      <c r="J133" s="76"/>
      <c r="K133" s="76"/>
      <c r="L133" s="76"/>
      <c r="M133" s="80"/>
      <c r="N133" s="96"/>
    </row>
    <row r="134" customFormat="false" ht="22.5" hidden="false" customHeight="true" outlineLevel="0" collapsed="false">
      <c r="A134" s="94"/>
      <c r="B134" s="95"/>
      <c r="C134" s="84"/>
      <c r="D134" s="76"/>
      <c r="E134" s="77"/>
      <c r="F134" s="77"/>
      <c r="G134" s="78"/>
      <c r="H134" s="76" t="str">
        <f aca="true">IF(G134="","",IF(G134=1,"Completed",
  IF(G134=0,"Not Started",
   IF(AND(F134&lt;&gt;"",ISNUMBER(F134),F134&lt;TODAY()),"Delayed","In Progress")
  )
 )
)</f>
        <v/>
      </c>
      <c r="I134" s="76"/>
      <c r="J134" s="76"/>
      <c r="K134" s="76"/>
      <c r="L134" s="76"/>
      <c r="M134" s="80"/>
      <c r="N134" s="96"/>
    </row>
    <row r="135" customFormat="false" ht="22.5" hidden="false" customHeight="true" outlineLevel="0" collapsed="false">
      <c r="A135" s="94"/>
      <c r="B135" s="95"/>
      <c r="C135" s="84"/>
      <c r="D135" s="76"/>
      <c r="E135" s="77"/>
      <c r="F135" s="77"/>
      <c r="G135" s="78"/>
      <c r="H135" s="76" t="str">
        <f aca="true">IF(G135="","",IF(G135=1,"Completed",
IF(G135=0,"Not Started",
IF(AND(F135&lt;&gt;"",ISNUMBER(F135),F135&lt;TODAY()),"Delayed","In Progress")
)
)
)</f>
        <v/>
      </c>
      <c r="I135" s="76"/>
      <c r="J135" s="76"/>
      <c r="K135" s="76"/>
      <c r="L135" s="76"/>
      <c r="M135" s="80"/>
      <c r="N135" s="96"/>
    </row>
    <row r="136" customFormat="false" ht="22.5" hidden="false" customHeight="true" outlineLevel="0" collapsed="false">
      <c r="A136" s="94"/>
      <c r="B136" s="95"/>
      <c r="C136" s="84"/>
      <c r="D136" s="76"/>
      <c r="E136" s="77"/>
      <c r="F136" s="77"/>
      <c r="G136" s="78"/>
      <c r="H136" s="76" t="str">
        <f aca="true">IF(G136="","",IF(G136=1,"Completed",
IF(G136=0,"Not Started",
IF(AND(F136&lt;&gt;"",ISNUMBER(F136),F136&lt;TODAY()),"Delayed","In Progress")
)
)
)</f>
        <v/>
      </c>
      <c r="I136" s="76"/>
      <c r="J136" s="76"/>
      <c r="K136" s="76"/>
      <c r="L136" s="76"/>
      <c r="M136" s="80"/>
      <c r="N136" s="96"/>
    </row>
    <row r="137" customFormat="false" ht="22.5" hidden="false" customHeight="true" outlineLevel="0" collapsed="false">
      <c r="A137" s="94"/>
      <c r="B137" s="95"/>
      <c r="C137" s="84"/>
      <c r="D137" s="76"/>
      <c r="E137" s="77"/>
      <c r="F137" s="77"/>
      <c r="G137" s="78"/>
      <c r="H137" s="76" t="str">
        <f aca="true">IF(G137="","",IF(G137=1,"Completed",
IF(G137=0,"Not Started",
IF(AND(F137&lt;&gt;"",ISNUMBER(F137),F137&lt;TODAY()),"Delayed","In Progress")
)
)
)</f>
        <v/>
      </c>
      <c r="I137" s="76"/>
      <c r="J137" s="76"/>
      <c r="K137" s="76"/>
      <c r="L137" s="76"/>
      <c r="M137" s="80"/>
      <c r="N137" s="96"/>
    </row>
    <row r="138" customFormat="false" ht="22.5" hidden="false" customHeight="true" outlineLevel="0" collapsed="false">
      <c r="A138" s="94"/>
      <c r="B138" s="95"/>
      <c r="C138" s="84"/>
      <c r="D138" s="76"/>
      <c r="E138" s="77"/>
      <c r="F138" s="77"/>
      <c r="G138" s="78"/>
      <c r="H138" s="76" t="str">
        <f aca="true">IF(G138="","",IF(G138=1,"Completed",
IF(G138=0,"Not Started",
IF(AND(F138&lt;&gt;"",ISNUMBER(F138),F138&lt;TODAY()),"Delayed","In Progress")
)
)
)</f>
        <v/>
      </c>
      <c r="I138" s="76"/>
      <c r="J138" s="76"/>
      <c r="K138" s="76"/>
      <c r="L138" s="76"/>
      <c r="M138" s="80"/>
      <c r="N138" s="96"/>
    </row>
    <row r="139" customFormat="false" ht="22.5" hidden="false" customHeight="true" outlineLevel="0" collapsed="false">
      <c r="A139" s="94"/>
      <c r="B139" s="95"/>
      <c r="C139" s="84"/>
      <c r="D139" s="76"/>
      <c r="E139" s="77"/>
      <c r="F139" s="77"/>
      <c r="G139" s="78"/>
      <c r="H139" s="76" t="str">
        <f aca="true">IF(G139="","",IF(G139=1,"Completed",
IF(G139=0,"Not Started",
IF(AND(F139&lt;&gt;"",ISNUMBER(F139),F139&lt;TODAY()),"Delayed","In Progress")
)
)
)</f>
        <v/>
      </c>
      <c r="I139" s="76"/>
      <c r="J139" s="76"/>
      <c r="K139" s="76"/>
      <c r="L139" s="76"/>
      <c r="M139" s="80"/>
      <c r="N139" s="96"/>
    </row>
    <row r="140" customFormat="false" ht="22.5" hidden="false" customHeight="true" outlineLevel="0" collapsed="false">
      <c r="A140" s="94"/>
      <c r="B140" s="95"/>
      <c r="C140" s="84"/>
      <c r="D140" s="76"/>
      <c r="E140" s="77"/>
      <c r="F140" s="77"/>
      <c r="G140" s="78"/>
      <c r="H140" s="76" t="str">
        <f aca="true">IF(G140="","",IF(G140=1,"Completed",
IF(G140=0,"Not Started",
IF(AND(F140&lt;&gt;"",ISNUMBER(F140),F140&lt;TODAY()),"Delayed","In Progress")
)
)
)</f>
        <v/>
      </c>
      <c r="I140" s="76"/>
      <c r="J140" s="76"/>
      <c r="K140" s="76"/>
      <c r="L140" s="76"/>
      <c r="M140" s="80"/>
      <c r="N140" s="96"/>
    </row>
    <row r="141" customFormat="false" ht="22.5" hidden="false" customHeight="true" outlineLevel="0" collapsed="false">
      <c r="A141" s="94"/>
      <c r="B141" s="95"/>
      <c r="C141" s="84"/>
      <c r="D141" s="76"/>
      <c r="E141" s="77"/>
      <c r="F141" s="77"/>
      <c r="G141" s="78"/>
      <c r="H141" s="76" t="str">
        <f aca="true">IF(G141="","",IF(G141=1,"Completed",
IF(G141=0,"Not Started",
IF(AND(F141&lt;&gt;"",ISNUMBER(F141),F141&lt;TODAY()),"Delayed","In Progress")
)
)
)</f>
        <v/>
      </c>
      <c r="I141" s="76"/>
      <c r="J141" s="76"/>
      <c r="K141" s="76"/>
      <c r="L141" s="76"/>
      <c r="M141" s="80"/>
      <c r="N141" s="96"/>
    </row>
    <row r="142" customFormat="false" ht="22.5" hidden="false" customHeight="true" outlineLevel="0" collapsed="false">
      <c r="A142" s="94"/>
      <c r="B142" s="95"/>
      <c r="C142" s="84"/>
      <c r="D142" s="76"/>
      <c r="E142" s="77"/>
      <c r="F142" s="77"/>
      <c r="G142" s="78"/>
      <c r="H142" s="76" t="str">
        <f aca="true">IF(G142="","",IF(G142=1,"Completed",
IF(G142=0,"Not Started",
IF(AND(F142&lt;&gt;"",ISNUMBER(F142),F142&lt;TODAY()),"Delayed","In Progress")
)
)
)</f>
        <v/>
      </c>
      <c r="I142" s="76"/>
      <c r="J142" s="76"/>
      <c r="K142" s="76"/>
      <c r="L142" s="76"/>
      <c r="M142" s="80"/>
      <c r="N142" s="96"/>
    </row>
    <row r="143" customFormat="false" ht="22.5" hidden="false" customHeight="true" outlineLevel="0" collapsed="false">
      <c r="A143" s="94"/>
      <c r="B143" s="95"/>
      <c r="C143" s="84"/>
      <c r="D143" s="76"/>
      <c r="E143" s="77"/>
      <c r="F143" s="77"/>
      <c r="G143" s="78"/>
      <c r="H143" s="76" t="str">
        <f aca="true">IF(G143="","",IF(G143=1,"Completed",
IF(G143=0,"Not Started",
IF(AND(F143&lt;&gt;"",ISNUMBER(F143),F143&lt;TODAY()),"Delayed","In Progress")
)
)
)</f>
        <v/>
      </c>
      <c r="I143" s="76"/>
      <c r="J143" s="76"/>
      <c r="K143" s="76"/>
      <c r="L143" s="76"/>
      <c r="M143" s="80"/>
      <c r="N143" s="96"/>
    </row>
    <row r="144" customFormat="false" ht="22.5" hidden="false" customHeight="true" outlineLevel="0" collapsed="false">
      <c r="A144" s="94"/>
      <c r="B144" s="95"/>
      <c r="C144" s="84"/>
      <c r="D144" s="76"/>
      <c r="E144" s="77"/>
      <c r="F144" s="77"/>
      <c r="G144" s="78"/>
      <c r="H144" s="76" t="str">
        <f aca="true">IF(G144="","",IF(G144=1,"Completed",
IF(G144=0,"Not Started",
IF(AND(F144&lt;&gt;"",ISNUMBER(F144),F144&lt;TODAY()),"Delayed","In Progress")
)
)
)</f>
        <v/>
      </c>
      <c r="I144" s="76"/>
      <c r="J144" s="76"/>
      <c r="K144" s="76"/>
      <c r="L144" s="76"/>
      <c r="M144" s="80"/>
      <c r="N144" s="96"/>
    </row>
    <row r="145" customFormat="false" ht="22.5" hidden="false" customHeight="true" outlineLevel="0" collapsed="false">
      <c r="A145" s="94"/>
      <c r="B145" s="95"/>
      <c r="C145" s="84"/>
      <c r="D145" s="76"/>
      <c r="E145" s="77"/>
      <c r="F145" s="77"/>
      <c r="G145" s="78"/>
      <c r="H145" s="76" t="str">
        <f aca="true">IF(G145="","",IF(G145=1,"Completed",
IF(G145=0,"Not Started",
IF(AND(F145&lt;&gt;"",ISNUMBER(F145),F145&lt;TODAY()),"Delayed","In Progress")
)
)
)</f>
        <v/>
      </c>
      <c r="I145" s="76"/>
      <c r="J145" s="76"/>
      <c r="K145" s="76"/>
      <c r="L145" s="76"/>
      <c r="M145" s="80"/>
      <c r="N145" s="96"/>
    </row>
    <row r="146" customFormat="false" ht="22.5" hidden="false" customHeight="true" outlineLevel="0" collapsed="false">
      <c r="A146" s="94"/>
      <c r="B146" s="95"/>
      <c r="C146" s="84"/>
      <c r="D146" s="76"/>
      <c r="E146" s="77"/>
      <c r="F146" s="77"/>
      <c r="G146" s="78"/>
      <c r="H146" s="76" t="str">
        <f aca="true">IF(G146="","",IF(G146=1,"Completed",
IF(G146=0,"Not Started",
IF(AND(F146&lt;&gt;"",ISNUMBER(F146),F146&lt;TODAY()),"Delayed","In Progress")
)
)
)</f>
        <v/>
      </c>
      <c r="I146" s="76"/>
      <c r="J146" s="76"/>
      <c r="K146" s="76"/>
      <c r="L146" s="76"/>
      <c r="M146" s="80"/>
      <c r="N146" s="96"/>
    </row>
    <row r="147" customFormat="false" ht="22.5" hidden="false" customHeight="true" outlineLevel="0" collapsed="false">
      <c r="A147" s="94"/>
      <c r="B147" s="95"/>
      <c r="C147" s="84"/>
      <c r="D147" s="76"/>
      <c r="E147" s="77"/>
      <c r="F147" s="77"/>
      <c r="G147" s="78"/>
      <c r="H147" s="76" t="str">
        <f aca="true">IF(G147="","",IF(G147=1,"Completed",
IF(G147=0,"Not Started",
IF(AND(F147&lt;&gt;"",ISNUMBER(F147),F147&lt;TODAY()),"Delayed","In Progress")
)
)
)</f>
        <v/>
      </c>
      <c r="I147" s="76"/>
      <c r="J147" s="76"/>
      <c r="K147" s="76"/>
      <c r="L147" s="76"/>
      <c r="M147" s="80"/>
      <c r="N147" s="96"/>
    </row>
    <row r="148" customFormat="false" ht="22.5" hidden="false" customHeight="true" outlineLevel="0" collapsed="false">
      <c r="A148" s="94"/>
      <c r="B148" s="95"/>
      <c r="C148" s="84"/>
      <c r="D148" s="76"/>
      <c r="E148" s="77"/>
      <c r="F148" s="77"/>
      <c r="G148" s="78"/>
      <c r="H148" s="76" t="str">
        <f aca="true">IF(G148="","",IF(G148=1,"Completed",
IF(G148=0,"Not Started",
IF(AND(F148&lt;&gt;"",ISNUMBER(F148),F148&lt;TODAY()),"Delayed","In Progress")
)
)
)</f>
        <v/>
      </c>
      <c r="I148" s="76"/>
      <c r="J148" s="76"/>
      <c r="K148" s="76"/>
      <c r="L148" s="76"/>
      <c r="M148" s="80"/>
      <c r="N148" s="96"/>
    </row>
    <row r="149" customFormat="false" ht="22.5" hidden="false" customHeight="true" outlineLevel="0" collapsed="false">
      <c r="A149" s="94"/>
      <c r="B149" s="95"/>
      <c r="C149" s="84"/>
      <c r="D149" s="76"/>
      <c r="E149" s="77"/>
      <c r="F149" s="77"/>
      <c r="G149" s="78"/>
      <c r="H149" s="76" t="str">
        <f aca="true">IF(G149="","",IF(G149=1,"Completed",
IF(G149=0,"Not Started",
IF(AND(F149&lt;&gt;"",ISNUMBER(F149),F149&lt;TODAY()),"Delayed","In Progress")
)
)
)</f>
        <v/>
      </c>
      <c r="I149" s="76"/>
      <c r="J149" s="76"/>
      <c r="K149" s="76"/>
      <c r="L149" s="76"/>
      <c r="M149" s="80"/>
      <c r="N149" s="96"/>
    </row>
    <row r="150" customFormat="false" ht="22.5" hidden="false" customHeight="true" outlineLevel="0" collapsed="false">
      <c r="A150" s="94"/>
      <c r="B150" s="95"/>
      <c r="C150" s="84"/>
      <c r="D150" s="76"/>
      <c r="E150" s="77"/>
      <c r="F150" s="77"/>
      <c r="G150" s="78"/>
      <c r="H150" s="76" t="str">
        <f aca="true">IF(G150="","",IF(G150=1,"Completed",
IF(G150=0,"Not Started",
IF(AND(F150&lt;&gt;"",ISNUMBER(F150),F150&lt;TODAY()),"Delayed","In Progress")
)
)
)</f>
        <v/>
      </c>
      <c r="I150" s="76"/>
      <c r="J150" s="76"/>
      <c r="K150" s="76"/>
      <c r="L150" s="76"/>
      <c r="M150" s="80"/>
      <c r="N150" s="96"/>
    </row>
    <row r="151" customFormat="false" ht="22.5" hidden="false" customHeight="true" outlineLevel="0" collapsed="false">
      <c r="A151" s="94"/>
      <c r="B151" s="95"/>
      <c r="C151" s="84"/>
      <c r="D151" s="76"/>
      <c r="E151" s="77"/>
      <c r="F151" s="77"/>
      <c r="G151" s="78"/>
      <c r="H151" s="76" t="str">
        <f aca="true">IF(G151="","",IF(G151=1,"Completed",
IF(G151=0,"Not Started",
IF(AND(F151&lt;&gt;"",ISNUMBER(F151),F151&lt;TODAY()),"Delayed","In Progress")
)
)
)</f>
        <v/>
      </c>
      <c r="I151" s="76"/>
      <c r="J151" s="76"/>
      <c r="K151" s="76"/>
      <c r="L151" s="76"/>
      <c r="M151" s="80"/>
      <c r="N151" s="96"/>
    </row>
    <row r="152" customFormat="false" ht="22.5" hidden="false" customHeight="true" outlineLevel="0" collapsed="false">
      <c r="A152" s="94"/>
      <c r="B152" s="95"/>
      <c r="C152" s="84"/>
      <c r="D152" s="76"/>
      <c r="E152" s="77"/>
      <c r="F152" s="77"/>
      <c r="G152" s="78"/>
      <c r="H152" s="76" t="str">
        <f aca="true">IF(G152="","",IF(G152=1,"Completed",
IF(G152=0,"Not Started",
IF(AND(F152&lt;&gt;"",ISNUMBER(F152),F152&lt;TODAY()),"Delayed","In Progress")
)
)
)</f>
        <v/>
      </c>
      <c r="I152" s="76"/>
      <c r="J152" s="76"/>
      <c r="K152" s="76"/>
      <c r="L152" s="76"/>
      <c r="M152" s="80"/>
      <c r="N152" s="96"/>
    </row>
    <row r="153" customFormat="false" ht="22.5" hidden="false" customHeight="true" outlineLevel="0" collapsed="false">
      <c r="A153" s="94"/>
      <c r="B153" s="95"/>
      <c r="C153" s="84"/>
      <c r="D153" s="76"/>
      <c r="E153" s="77"/>
      <c r="F153" s="77"/>
      <c r="G153" s="78"/>
      <c r="H153" s="76" t="str">
        <f aca="true">IF(G153="","",IF(G153=1,"Completed",
IF(G153=0,"Not Started",
IF(AND(F153&lt;&gt;"",ISNUMBER(F153),F153&lt;TODAY()),"Delayed","In Progress")
)
)
)</f>
        <v/>
      </c>
      <c r="I153" s="76"/>
      <c r="J153" s="76"/>
      <c r="K153" s="76"/>
      <c r="L153" s="76"/>
      <c r="M153" s="80"/>
      <c r="N153" s="96"/>
    </row>
    <row r="154" customFormat="false" ht="22.5" hidden="false" customHeight="true" outlineLevel="0" collapsed="false">
      <c r="A154" s="94"/>
      <c r="B154" s="95"/>
      <c r="C154" s="84"/>
      <c r="D154" s="76"/>
      <c r="E154" s="77"/>
      <c r="F154" s="77"/>
      <c r="G154" s="78"/>
      <c r="H154" s="76" t="str">
        <f aca="true">IF(G154="","",IF(G154=1,"Completed",
IF(G154=0,"Not Started",
IF(AND(F154&lt;&gt;"",ISNUMBER(F154),F154&lt;TODAY()),"Delayed","In Progress")
)
)
)</f>
        <v/>
      </c>
      <c r="I154" s="76"/>
      <c r="J154" s="76"/>
      <c r="K154" s="76"/>
      <c r="L154" s="76"/>
      <c r="M154" s="80"/>
      <c r="N154" s="96"/>
    </row>
    <row r="155" customFormat="false" ht="22.5" hidden="false" customHeight="true" outlineLevel="0" collapsed="false">
      <c r="A155" s="94"/>
      <c r="B155" s="95"/>
      <c r="C155" s="84"/>
      <c r="D155" s="76"/>
      <c r="E155" s="77"/>
      <c r="F155" s="77"/>
      <c r="G155" s="78"/>
      <c r="H155" s="76" t="str">
        <f aca="true">IF(G155="","",IF(G155=1,"Completed",
IF(G155=0,"Not Started",
IF(AND(F155&lt;&gt;"",ISNUMBER(F155),F155&lt;TODAY()),"Delayed","In Progress")
)
)
)</f>
        <v/>
      </c>
      <c r="I155" s="76"/>
      <c r="J155" s="76"/>
      <c r="K155" s="76"/>
      <c r="L155" s="76"/>
      <c r="M155" s="80"/>
      <c r="N155" s="96"/>
    </row>
    <row r="156" customFormat="false" ht="22.5" hidden="false" customHeight="true" outlineLevel="0" collapsed="false">
      <c r="A156" s="94"/>
      <c r="B156" s="95"/>
      <c r="C156" s="84"/>
      <c r="D156" s="76"/>
      <c r="E156" s="77"/>
      <c r="F156" s="77"/>
      <c r="G156" s="78"/>
      <c r="H156" s="76" t="str">
        <f aca="true">IF(G156="","",IF(G156=1,"Completed",
IF(G156=0,"Not Started",
IF(AND(F156&lt;&gt;"",ISNUMBER(F156),F156&lt;TODAY()),"Delayed","In Progress")
)
)
)</f>
        <v/>
      </c>
      <c r="I156" s="76"/>
      <c r="J156" s="76"/>
      <c r="K156" s="76"/>
      <c r="L156" s="76"/>
      <c r="M156" s="80"/>
      <c r="N156" s="96"/>
    </row>
    <row r="157" customFormat="false" ht="22.5" hidden="false" customHeight="true" outlineLevel="0" collapsed="false">
      <c r="A157" s="94"/>
      <c r="B157" s="95"/>
      <c r="C157" s="84"/>
      <c r="D157" s="76"/>
      <c r="E157" s="77"/>
      <c r="F157" s="77"/>
      <c r="G157" s="78"/>
      <c r="H157" s="76" t="str">
        <f aca="true">IF(G157="","",IF(G157=1,"Completed",
IF(G157=0,"Not Started",
IF(AND(F157&lt;&gt;"",ISNUMBER(F157),F157&lt;TODAY()),"Delayed","In Progress")
)
)
)</f>
        <v/>
      </c>
      <c r="I157" s="76"/>
      <c r="J157" s="76"/>
      <c r="K157" s="76"/>
      <c r="L157" s="76"/>
      <c r="M157" s="80"/>
      <c r="N157" s="96"/>
    </row>
    <row r="158" customFormat="false" ht="22.5" hidden="false" customHeight="true" outlineLevel="0" collapsed="false">
      <c r="A158" s="94"/>
      <c r="B158" s="95"/>
      <c r="C158" s="84"/>
      <c r="D158" s="76"/>
      <c r="E158" s="77"/>
      <c r="F158" s="77"/>
      <c r="G158" s="78"/>
      <c r="H158" s="76" t="str">
        <f aca="true">IF(G158="","",IF(G158=1,"Completed",
IF(G158=0,"Not Started",
IF(AND(F158&lt;&gt;"",ISNUMBER(F158),F158&lt;TODAY()),"Delayed","In Progress")
)
)
)</f>
        <v/>
      </c>
      <c r="I158" s="76"/>
      <c r="J158" s="76"/>
      <c r="K158" s="76"/>
      <c r="L158" s="76"/>
      <c r="M158" s="80"/>
      <c r="N158" s="96"/>
    </row>
    <row r="159" customFormat="false" ht="22.5" hidden="false" customHeight="true" outlineLevel="0" collapsed="false">
      <c r="A159" s="94"/>
      <c r="B159" s="95"/>
      <c r="C159" s="84"/>
      <c r="D159" s="76"/>
      <c r="E159" s="77"/>
      <c r="F159" s="77"/>
      <c r="G159" s="78"/>
      <c r="H159" s="76" t="str">
        <f aca="true">IF(G159="","",IF(G159=1,"Completed",
IF(G159=0,"Not Started",
IF(AND(F159&lt;&gt;"",ISNUMBER(F159),F159&lt;TODAY()),"Delayed","In Progress")
)
)
)</f>
        <v/>
      </c>
      <c r="I159" s="76"/>
      <c r="J159" s="76"/>
      <c r="K159" s="76"/>
      <c r="L159" s="76"/>
      <c r="M159" s="80"/>
      <c r="N159" s="96"/>
    </row>
    <row r="160" customFormat="false" ht="22.5" hidden="false" customHeight="true" outlineLevel="0" collapsed="false">
      <c r="A160" s="94"/>
      <c r="B160" s="95"/>
      <c r="C160" s="84"/>
      <c r="D160" s="76"/>
      <c r="E160" s="77"/>
      <c r="F160" s="77"/>
      <c r="G160" s="78"/>
      <c r="H160" s="76" t="str">
        <f aca="true">IF(G160="","",IF(G160=1,"Completed",
IF(G160=0,"Not Started",
IF(AND(F160&lt;&gt;"",ISNUMBER(F160),F160&lt;TODAY()),"Delayed","In Progress")
)
)
)</f>
        <v/>
      </c>
      <c r="I160" s="76"/>
      <c r="J160" s="76"/>
      <c r="K160" s="76"/>
      <c r="L160" s="76"/>
      <c r="M160" s="80"/>
      <c r="N160" s="96"/>
    </row>
    <row r="161" customFormat="false" ht="22.5" hidden="false" customHeight="true" outlineLevel="0" collapsed="false">
      <c r="A161" s="94"/>
      <c r="B161" s="95"/>
      <c r="C161" s="84"/>
      <c r="D161" s="76"/>
      <c r="E161" s="77"/>
      <c r="F161" s="77"/>
      <c r="G161" s="78"/>
      <c r="H161" s="76" t="str">
        <f aca="true">IF(G161="","",IF(G161=1,"Completed",
IF(G161=0,"Not Started",
IF(AND(F161&lt;&gt;"",ISNUMBER(F161),F161&lt;TODAY()),"Delayed","In Progress")
)
)
)</f>
        <v/>
      </c>
      <c r="I161" s="76"/>
      <c r="J161" s="76"/>
      <c r="K161" s="76"/>
      <c r="L161" s="76"/>
      <c r="M161" s="80"/>
      <c r="N161" s="96"/>
    </row>
    <row r="162" customFormat="false" ht="22.5" hidden="false" customHeight="true" outlineLevel="0" collapsed="false">
      <c r="A162" s="94"/>
      <c r="B162" s="95"/>
      <c r="C162" s="84"/>
      <c r="D162" s="76"/>
      <c r="E162" s="77"/>
      <c r="F162" s="77"/>
      <c r="G162" s="78"/>
      <c r="H162" s="76" t="str">
        <f aca="true">IF(G162="","",IF(G162=1,"Completed",
IF(G162=0,"Not Started",
IF(AND(F162&lt;&gt;"",ISNUMBER(F162),F162&lt;TODAY()),"Delayed","In Progress")
)
)
)</f>
        <v/>
      </c>
      <c r="I162" s="76"/>
      <c r="J162" s="76"/>
      <c r="K162" s="76"/>
      <c r="L162" s="76"/>
      <c r="M162" s="80"/>
      <c r="N162" s="96"/>
    </row>
    <row r="163" customFormat="false" ht="22.5" hidden="false" customHeight="true" outlineLevel="0" collapsed="false">
      <c r="A163" s="94"/>
      <c r="B163" s="95"/>
      <c r="C163" s="84"/>
      <c r="D163" s="76"/>
      <c r="E163" s="77"/>
      <c r="F163" s="77"/>
      <c r="G163" s="78"/>
      <c r="H163" s="76" t="str">
        <f aca="true">IF(G163="","",IF(G163=1,"Completed",
IF(G163=0,"Not Started",
IF(AND(F163&lt;&gt;"",ISNUMBER(F163),F163&lt;TODAY()),"Delayed","In Progress")
)
)
)</f>
        <v/>
      </c>
      <c r="I163" s="76"/>
      <c r="J163" s="76"/>
      <c r="K163" s="76"/>
      <c r="L163" s="76"/>
      <c r="M163" s="80"/>
      <c r="N163" s="96"/>
    </row>
    <row r="164" customFormat="false" ht="22.5" hidden="false" customHeight="true" outlineLevel="0" collapsed="false">
      <c r="A164" s="94"/>
      <c r="B164" s="95"/>
      <c r="C164" s="84"/>
      <c r="D164" s="76"/>
      <c r="E164" s="77"/>
      <c r="F164" s="77"/>
      <c r="G164" s="78"/>
      <c r="H164" s="76" t="str">
        <f aca="true">IF(G164="","",IF(G164=1,"Completed",
IF(G164=0,"Not Started",
IF(AND(F164&lt;&gt;"",ISNUMBER(F164),F164&lt;TODAY()),"Delayed","In Progress")
)
)
)</f>
        <v/>
      </c>
      <c r="I164" s="76"/>
      <c r="J164" s="76"/>
      <c r="K164" s="76"/>
      <c r="L164" s="76"/>
      <c r="M164" s="80"/>
      <c r="N164" s="96"/>
    </row>
    <row r="165" customFormat="false" ht="22.5" hidden="false" customHeight="true" outlineLevel="0" collapsed="false">
      <c r="A165" s="94"/>
      <c r="B165" s="95"/>
      <c r="C165" s="84"/>
      <c r="D165" s="76"/>
      <c r="E165" s="77"/>
      <c r="F165" s="77"/>
      <c r="G165" s="78"/>
      <c r="H165" s="76" t="str">
        <f aca="true">IF(G165="","",IF(G165=1,"Completed",
IF(G165=0,"Not Started",
IF(AND(F165&lt;&gt;"",ISNUMBER(F165),F165&lt;TODAY()),"Delayed","In Progress")
)
)
)</f>
        <v/>
      </c>
      <c r="I165" s="76"/>
      <c r="J165" s="76"/>
      <c r="K165" s="76"/>
      <c r="L165" s="76"/>
      <c r="M165" s="80"/>
      <c r="N165" s="96"/>
    </row>
    <row r="166" customFormat="false" ht="22.5" hidden="false" customHeight="true" outlineLevel="0" collapsed="false">
      <c r="A166" s="94"/>
      <c r="B166" s="95"/>
      <c r="C166" s="84"/>
      <c r="D166" s="76"/>
      <c r="E166" s="77"/>
      <c r="F166" s="77"/>
      <c r="G166" s="78"/>
      <c r="H166" s="76" t="str">
        <f aca="true">IF(G166="","",IF(G166=1,"Completed",
IF(G166=0,"Not Started",
IF(AND(F166&lt;&gt;"",ISNUMBER(F166),F166&lt;TODAY()),"Delayed","In Progress")
)
)
)</f>
        <v/>
      </c>
      <c r="I166" s="76"/>
      <c r="J166" s="76"/>
      <c r="K166" s="76"/>
      <c r="L166" s="76"/>
      <c r="M166" s="80"/>
      <c r="N166" s="96"/>
    </row>
    <row r="167" customFormat="false" ht="22.5" hidden="false" customHeight="true" outlineLevel="0" collapsed="false">
      <c r="A167" s="94"/>
      <c r="B167" s="95"/>
      <c r="C167" s="84"/>
      <c r="D167" s="76"/>
      <c r="E167" s="77"/>
      <c r="F167" s="77"/>
      <c r="G167" s="78"/>
      <c r="H167" s="76" t="str">
        <f aca="true">IF(G167="","",IF(G167=1,"Completed",
IF(G167=0,"Not Started",
IF(AND(F167&lt;&gt;"",ISNUMBER(F167),F167&lt;TODAY()),"Delayed","In Progress")
)
)
)</f>
        <v/>
      </c>
      <c r="I167" s="76"/>
      <c r="J167" s="76"/>
      <c r="K167" s="76"/>
      <c r="L167" s="76"/>
      <c r="M167" s="80"/>
      <c r="N167" s="96"/>
    </row>
    <row r="168" customFormat="false" ht="22.5" hidden="false" customHeight="true" outlineLevel="0" collapsed="false">
      <c r="A168" s="94"/>
      <c r="B168" s="95"/>
      <c r="C168" s="84"/>
      <c r="D168" s="76"/>
      <c r="E168" s="77"/>
      <c r="F168" s="77"/>
      <c r="G168" s="78"/>
      <c r="H168" s="76" t="str">
        <f aca="true">IF(G168="","",IF(G168=1,"Completed",
IF(G168=0,"Not Started",
IF(AND(F168&lt;&gt;"",ISNUMBER(F168),F168&lt;TODAY()),"Delayed","In Progress")
)
)
)</f>
        <v/>
      </c>
      <c r="I168" s="76"/>
      <c r="J168" s="76"/>
      <c r="K168" s="76"/>
      <c r="L168" s="76"/>
      <c r="M168" s="80"/>
      <c r="N168" s="96"/>
    </row>
    <row r="169" customFormat="false" ht="22.5" hidden="false" customHeight="true" outlineLevel="0" collapsed="false">
      <c r="A169" s="94"/>
      <c r="B169" s="95"/>
      <c r="C169" s="84"/>
      <c r="D169" s="76"/>
      <c r="E169" s="77"/>
      <c r="F169" s="77"/>
      <c r="G169" s="78"/>
      <c r="H169" s="76" t="str">
        <f aca="true">IF(G169="","",IF(G169=1,"Completed",
IF(G169=0,"Not Started",
IF(AND(F169&lt;&gt;"",ISNUMBER(F169),F169&lt;TODAY()),"Delayed","In Progress")
)
)
)</f>
        <v/>
      </c>
      <c r="I169" s="76"/>
      <c r="J169" s="76"/>
      <c r="K169" s="76"/>
      <c r="L169" s="76"/>
      <c r="M169" s="80"/>
      <c r="N169" s="96"/>
    </row>
    <row r="170" customFormat="false" ht="22.5" hidden="false" customHeight="true" outlineLevel="0" collapsed="false">
      <c r="A170" s="94"/>
      <c r="B170" s="95"/>
      <c r="C170" s="84"/>
      <c r="D170" s="76"/>
      <c r="E170" s="77"/>
      <c r="F170" s="77"/>
      <c r="G170" s="78"/>
      <c r="H170" s="76" t="str">
        <f aca="true">IF(G170="","",IF(G170=1,"Completed",
IF(G170=0,"Not Started",
IF(AND(F170&lt;&gt;"",ISNUMBER(F170),F170&lt;TODAY()),"Delayed","In Progress")
)
)
)</f>
        <v/>
      </c>
      <c r="I170" s="76"/>
      <c r="J170" s="76"/>
      <c r="K170" s="76"/>
      <c r="L170" s="76"/>
      <c r="M170" s="80"/>
      <c r="N170" s="96"/>
    </row>
    <row r="171" customFormat="false" ht="22.5" hidden="false" customHeight="true" outlineLevel="0" collapsed="false">
      <c r="A171" s="94"/>
      <c r="B171" s="95"/>
      <c r="C171" s="84"/>
      <c r="D171" s="76"/>
      <c r="E171" s="77"/>
      <c r="F171" s="77"/>
      <c r="G171" s="78"/>
      <c r="H171" s="76" t="str">
        <f aca="true">IF(G171="","",IF(G171=1,"Completed",
IF(G171=0,"Not Started",
IF(AND(F171&lt;&gt;"",ISNUMBER(F171),F171&lt;TODAY()),"Delayed","In Progress")
)
)
)</f>
        <v/>
      </c>
      <c r="I171" s="76"/>
      <c r="J171" s="76"/>
      <c r="K171" s="76"/>
      <c r="L171" s="76"/>
      <c r="M171" s="80"/>
      <c r="N171" s="96"/>
    </row>
    <row r="172" customFormat="false" ht="22.5" hidden="false" customHeight="true" outlineLevel="0" collapsed="false">
      <c r="A172" s="94"/>
      <c r="B172" s="95"/>
      <c r="C172" s="84"/>
      <c r="D172" s="76"/>
      <c r="E172" s="77"/>
      <c r="F172" s="77"/>
      <c r="G172" s="78"/>
      <c r="H172" s="76" t="str">
        <f aca="true">IF(G172="","",IF(G172=1,"Completed",
IF(G172=0,"Not Started",
IF(AND(F172&lt;&gt;"",ISNUMBER(F172),F172&lt;TODAY()),"Delayed","In Progress")
)
)
)</f>
        <v/>
      </c>
      <c r="I172" s="76"/>
      <c r="J172" s="76"/>
      <c r="K172" s="76"/>
      <c r="L172" s="76"/>
      <c r="M172" s="80"/>
      <c r="N172" s="96"/>
    </row>
    <row r="173" customFormat="false" ht="22.5" hidden="false" customHeight="true" outlineLevel="0" collapsed="false">
      <c r="A173" s="94"/>
      <c r="B173" s="95"/>
      <c r="C173" s="84"/>
      <c r="D173" s="76"/>
      <c r="E173" s="77"/>
      <c r="F173" s="77"/>
      <c r="G173" s="78"/>
      <c r="H173" s="76" t="str">
        <f aca="true">IF(G173="","",IF(G173=1,"Completed",
IF(G173=0,"Not Started",
IF(AND(F173&lt;&gt;"",ISNUMBER(F173),F173&lt;TODAY()),"Delayed","In Progress")
)
)
)</f>
        <v/>
      </c>
      <c r="I173" s="76"/>
      <c r="J173" s="76"/>
      <c r="K173" s="76"/>
      <c r="L173" s="76"/>
      <c r="M173" s="80"/>
      <c r="N173" s="96"/>
    </row>
    <row r="174" customFormat="false" ht="22.5" hidden="false" customHeight="true" outlineLevel="0" collapsed="false">
      <c r="A174" s="94"/>
      <c r="B174" s="95"/>
      <c r="C174" s="84"/>
      <c r="D174" s="76"/>
      <c r="E174" s="77"/>
      <c r="F174" s="77"/>
      <c r="G174" s="78"/>
      <c r="H174" s="76" t="str">
        <f aca="true">IF(G174="","",IF(G174=1,"Completed",
IF(G174=0,"Not Started",
IF(AND(F174&lt;&gt;"",ISNUMBER(F174),F174&lt;TODAY()),"Delayed","In Progress")
)
)
)</f>
        <v/>
      </c>
      <c r="I174" s="76"/>
      <c r="J174" s="76"/>
      <c r="K174" s="76"/>
      <c r="L174" s="76"/>
      <c r="M174" s="80"/>
      <c r="N174" s="96"/>
    </row>
    <row r="175" customFormat="false" ht="22.5" hidden="false" customHeight="true" outlineLevel="0" collapsed="false">
      <c r="A175" s="94"/>
      <c r="B175" s="95"/>
      <c r="C175" s="84"/>
      <c r="D175" s="76"/>
      <c r="E175" s="77"/>
      <c r="F175" s="77"/>
      <c r="G175" s="78"/>
      <c r="H175" s="76" t="str">
        <f aca="true">IF(G175="","",IF(G175=1,"Completed",
IF(G175=0,"Not Started",
IF(AND(F175&lt;&gt;"",ISNUMBER(F175),F175&lt;TODAY()),"Delayed","In Progress")
)
)
)</f>
        <v/>
      </c>
      <c r="I175" s="76"/>
      <c r="J175" s="76"/>
      <c r="K175" s="76"/>
      <c r="L175" s="76"/>
      <c r="M175" s="80"/>
      <c r="N175" s="96"/>
    </row>
    <row r="176" customFormat="false" ht="22.5" hidden="false" customHeight="true" outlineLevel="0" collapsed="false">
      <c r="A176" s="94"/>
      <c r="B176" s="95"/>
      <c r="C176" s="84"/>
      <c r="D176" s="76"/>
      <c r="E176" s="77"/>
      <c r="F176" s="77"/>
      <c r="G176" s="78"/>
      <c r="H176" s="76" t="str">
        <f aca="true">IF(G176="","",IF(G176=1,"Completed",
IF(G176=0,"Not Started",
IF(AND(F176&lt;&gt;"",ISNUMBER(F176),F176&lt;TODAY()),"Delayed","In Progress")
)
)
)</f>
        <v/>
      </c>
      <c r="I176" s="76"/>
      <c r="J176" s="76"/>
      <c r="K176" s="76"/>
      <c r="L176" s="76"/>
      <c r="M176" s="80"/>
      <c r="N176" s="96"/>
    </row>
    <row r="177" customFormat="false" ht="22.5" hidden="false" customHeight="true" outlineLevel="0" collapsed="false">
      <c r="A177" s="94"/>
      <c r="B177" s="95"/>
      <c r="C177" s="84"/>
      <c r="D177" s="76"/>
      <c r="E177" s="77"/>
      <c r="F177" s="77"/>
      <c r="G177" s="78"/>
      <c r="H177" s="76" t="str">
        <f aca="true">IF(G177="","",IF(G177=1,"Completed",
IF(G177=0,"Not Started",
IF(AND(F177&lt;&gt;"",ISNUMBER(F177),F177&lt;TODAY()),"Delayed","In Progress")
)
)
)</f>
        <v/>
      </c>
      <c r="I177" s="76"/>
      <c r="J177" s="76"/>
      <c r="K177" s="76"/>
      <c r="L177" s="76"/>
      <c r="M177" s="80"/>
      <c r="N177" s="96"/>
    </row>
    <row r="178" customFormat="false" ht="22.5" hidden="false" customHeight="true" outlineLevel="0" collapsed="false">
      <c r="A178" s="94"/>
      <c r="B178" s="95"/>
      <c r="C178" s="84"/>
      <c r="D178" s="76"/>
      <c r="E178" s="77"/>
      <c r="F178" s="77"/>
      <c r="G178" s="78"/>
      <c r="H178" s="76" t="str">
        <f aca="true">IF(G178="","",IF(G178=1,"Completed",
IF(G178=0,"Not Started",
IF(AND(F178&lt;&gt;"",ISNUMBER(F178),F178&lt;TODAY()),"Delayed","In Progress")
)
)
)</f>
        <v/>
      </c>
      <c r="I178" s="76"/>
      <c r="J178" s="76"/>
      <c r="K178" s="76"/>
      <c r="L178" s="76"/>
      <c r="M178" s="80"/>
      <c r="N178" s="96"/>
    </row>
    <row r="179" customFormat="false" ht="22.5" hidden="false" customHeight="true" outlineLevel="0" collapsed="false">
      <c r="A179" s="94"/>
      <c r="B179" s="95"/>
      <c r="C179" s="84"/>
      <c r="D179" s="76"/>
      <c r="E179" s="77"/>
      <c r="F179" s="77"/>
      <c r="G179" s="78"/>
      <c r="H179" s="76" t="str">
        <f aca="true">IF(G179="","",IF(G179=1,"Completed",
IF(G179=0,"Not Started",
IF(AND(F179&lt;&gt;"",ISNUMBER(F179),F179&lt;TODAY()),"Delayed","In Progress")
)
)
)</f>
        <v/>
      </c>
      <c r="I179" s="76"/>
      <c r="J179" s="76"/>
      <c r="K179" s="76"/>
      <c r="L179" s="76"/>
      <c r="M179" s="80"/>
      <c r="N179" s="96"/>
    </row>
    <row r="180" customFormat="false" ht="22.5" hidden="false" customHeight="true" outlineLevel="0" collapsed="false">
      <c r="A180" s="94"/>
      <c r="B180" s="95"/>
      <c r="C180" s="84"/>
      <c r="D180" s="76"/>
      <c r="E180" s="77"/>
      <c r="F180" s="77"/>
      <c r="G180" s="78"/>
      <c r="H180" s="76" t="str">
        <f aca="true">IF(G180="","",IF(G180=1,"Completed",
IF(G180=0,"Not Started",
IF(AND(F180&lt;&gt;"",ISNUMBER(F180),F180&lt;TODAY()),"Delayed","In Progress")
)
)
)</f>
        <v/>
      </c>
      <c r="I180" s="76"/>
      <c r="J180" s="76"/>
      <c r="K180" s="76"/>
      <c r="L180" s="76"/>
      <c r="M180" s="80"/>
      <c r="N180" s="96"/>
    </row>
    <row r="181" customFormat="false" ht="22.5" hidden="false" customHeight="true" outlineLevel="0" collapsed="false">
      <c r="A181" s="94"/>
      <c r="B181" s="95"/>
      <c r="C181" s="84"/>
      <c r="D181" s="76"/>
      <c r="E181" s="77"/>
      <c r="F181" s="77"/>
      <c r="G181" s="78"/>
      <c r="H181" s="76" t="str">
        <f aca="true">IF(G181="","",IF(G181=1,"Completed",
IF(G181=0,"Not Started",
IF(AND(F181&lt;&gt;"",ISNUMBER(F181),F181&lt;TODAY()),"Delayed","In Progress")
)
)
)</f>
        <v/>
      </c>
      <c r="I181" s="76"/>
      <c r="J181" s="76"/>
      <c r="K181" s="76"/>
      <c r="L181" s="76"/>
      <c r="M181" s="80"/>
      <c r="N181" s="96"/>
    </row>
    <row r="182" customFormat="false" ht="22.5" hidden="false" customHeight="true" outlineLevel="0" collapsed="false">
      <c r="A182" s="94"/>
      <c r="B182" s="95"/>
      <c r="C182" s="84"/>
      <c r="D182" s="76"/>
      <c r="E182" s="77"/>
      <c r="F182" s="77"/>
      <c r="G182" s="78"/>
      <c r="H182" s="76" t="str">
        <f aca="true">IF(G182="","",IF(G182=1,"Completed",
IF(G182=0,"Not Started",
IF(AND(F182&lt;&gt;"",ISNUMBER(F182),F182&lt;TODAY()),"Delayed","In Progress")
)
)
)</f>
        <v/>
      </c>
      <c r="I182" s="76"/>
      <c r="J182" s="76"/>
      <c r="K182" s="76"/>
      <c r="L182" s="76"/>
      <c r="M182" s="80"/>
      <c r="N182" s="96"/>
    </row>
    <row r="183" customFormat="false" ht="22.5" hidden="false" customHeight="true" outlineLevel="0" collapsed="false">
      <c r="A183" s="94"/>
      <c r="B183" s="95"/>
      <c r="C183" s="84"/>
      <c r="D183" s="76"/>
      <c r="E183" s="77"/>
      <c r="F183" s="77"/>
      <c r="G183" s="78"/>
      <c r="H183" s="76" t="str">
        <f aca="true">IF(G183="","",IF(G183=1,"Completed",
IF(G183=0,"Not Started",
IF(AND(F183&lt;&gt;"",ISNUMBER(F183),F183&lt;TODAY()),"Delayed","In Progress")
)
)
)</f>
        <v/>
      </c>
      <c r="I183" s="76"/>
      <c r="J183" s="76"/>
      <c r="K183" s="76"/>
      <c r="L183" s="76"/>
      <c r="M183" s="80"/>
      <c r="N183" s="96"/>
    </row>
    <row r="184" customFormat="false" ht="22.5" hidden="false" customHeight="true" outlineLevel="0" collapsed="false">
      <c r="A184" s="94"/>
      <c r="B184" s="95"/>
      <c r="C184" s="84"/>
      <c r="D184" s="76"/>
      <c r="E184" s="77"/>
      <c r="F184" s="77"/>
      <c r="G184" s="78"/>
      <c r="H184" s="76" t="str">
        <f aca="true">IF(G184="","",IF(G184=1,"Completed",
IF(G184=0,"Not Started",
IF(AND(F184&lt;&gt;"",ISNUMBER(F184),F184&lt;TODAY()),"Delayed","In Progress")
)
)
)</f>
        <v/>
      </c>
      <c r="I184" s="76"/>
      <c r="J184" s="76"/>
      <c r="K184" s="76"/>
      <c r="L184" s="76"/>
      <c r="M184" s="80"/>
      <c r="N184" s="96"/>
    </row>
    <row r="185" customFormat="false" ht="22.5" hidden="false" customHeight="true" outlineLevel="0" collapsed="false">
      <c r="A185" s="94"/>
      <c r="B185" s="95"/>
      <c r="C185" s="84"/>
      <c r="D185" s="76"/>
      <c r="E185" s="77"/>
      <c r="F185" s="77"/>
      <c r="G185" s="78"/>
      <c r="H185" s="76" t="str">
        <f aca="true">IF(G185="","",IF(G185=1,"Completed",
IF(G185=0,"Not Started",
IF(AND(F185&lt;&gt;"",ISNUMBER(F185),F185&lt;TODAY()),"Delayed","In Progress")
)
)
)</f>
        <v/>
      </c>
      <c r="I185" s="76"/>
      <c r="J185" s="76"/>
      <c r="K185" s="76"/>
      <c r="L185" s="76"/>
      <c r="M185" s="80"/>
      <c r="N185" s="96"/>
    </row>
    <row r="186" customFormat="false" ht="22.5" hidden="false" customHeight="true" outlineLevel="0" collapsed="false">
      <c r="A186" s="94"/>
      <c r="B186" s="95"/>
      <c r="C186" s="84"/>
      <c r="D186" s="76"/>
      <c r="E186" s="77"/>
      <c r="F186" s="77"/>
      <c r="G186" s="78"/>
      <c r="H186" s="76" t="str">
        <f aca="true">IF(G186="","",IF(G186=1,"Completed",
IF(G186=0,"Not Started",
IF(AND(F186&lt;&gt;"",ISNUMBER(F186),F186&lt;TODAY()),"Delayed","In Progress")
)
)
)</f>
        <v/>
      </c>
      <c r="I186" s="76"/>
      <c r="J186" s="76"/>
      <c r="K186" s="76"/>
      <c r="L186" s="76"/>
      <c r="M186" s="80"/>
      <c r="N186" s="96"/>
    </row>
    <row r="187" customFormat="false" ht="22.5" hidden="false" customHeight="true" outlineLevel="0" collapsed="false">
      <c r="A187" s="94"/>
      <c r="B187" s="95"/>
      <c r="C187" s="84"/>
      <c r="D187" s="76"/>
      <c r="E187" s="77"/>
      <c r="F187" s="77"/>
      <c r="G187" s="78"/>
      <c r="H187" s="76" t="str">
        <f aca="true">IF(G187="","",IF(G187=1,"Completed",
IF(G187=0,"Not Started",
IF(AND(F187&lt;&gt;"",ISNUMBER(F187),F187&lt;TODAY()),"Delayed","In Progress")
)
)
)</f>
        <v/>
      </c>
      <c r="I187" s="76"/>
      <c r="J187" s="76"/>
      <c r="K187" s="76"/>
      <c r="L187" s="76"/>
      <c r="M187" s="80"/>
      <c r="N187" s="96"/>
    </row>
    <row r="188" customFormat="false" ht="22.5" hidden="false" customHeight="true" outlineLevel="0" collapsed="false">
      <c r="A188" s="94"/>
      <c r="B188" s="95"/>
      <c r="C188" s="84"/>
      <c r="D188" s="76"/>
      <c r="E188" s="77"/>
      <c r="F188" s="77"/>
      <c r="G188" s="78"/>
      <c r="H188" s="76" t="str">
        <f aca="true">IF(G188="","",IF(G188=1,"Completed",
IF(G188=0,"Not Started",
IF(AND(F188&lt;&gt;"",ISNUMBER(F188),F188&lt;TODAY()),"Delayed","In Progress")
)
)
)</f>
        <v/>
      </c>
      <c r="I188" s="76"/>
      <c r="J188" s="76"/>
      <c r="K188" s="76"/>
      <c r="L188" s="76"/>
      <c r="M188" s="80"/>
      <c r="N188" s="96"/>
    </row>
    <row r="189" customFormat="false" ht="22.5" hidden="false" customHeight="true" outlineLevel="0" collapsed="false">
      <c r="A189" s="94"/>
      <c r="B189" s="95"/>
      <c r="C189" s="84"/>
      <c r="D189" s="76"/>
      <c r="E189" s="77"/>
      <c r="F189" s="77"/>
      <c r="G189" s="78"/>
      <c r="H189" s="76" t="str">
        <f aca="true">IF(G189="","",IF(G189=1,"Completed",
IF(G189=0,"Not Started",
IF(AND(F189&lt;&gt;"",ISNUMBER(F189),F189&lt;TODAY()),"Delayed","In Progress")
)
)
)</f>
        <v/>
      </c>
      <c r="I189" s="76"/>
      <c r="J189" s="76"/>
      <c r="K189" s="76"/>
      <c r="L189" s="76"/>
      <c r="M189" s="80"/>
      <c r="N189" s="96"/>
    </row>
    <row r="190" customFormat="false" ht="22.5" hidden="false" customHeight="true" outlineLevel="0" collapsed="false">
      <c r="A190" s="94"/>
      <c r="B190" s="95"/>
      <c r="C190" s="84"/>
      <c r="D190" s="76"/>
      <c r="E190" s="77"/>
      <c r="F190" s="77"/>
      <c r="G190" s="78"/>
      <c r="H190" s="76" t="str">
        <f aca="true">IF(G190="","",IF(G190=1,"Completed",
IF(G190=0,"Not Started",
IF(AND(F190&lt;&gt;"",ISNUMBER(F190),F190&lt;TODAY()),"Delayed","In Progress")
)
)
)</f>
        <v/>
      </c>
      <c r="I190" s="76"/>
      <c r="J190" s="76"/>
      <c r="K190" s="76"/>
      <c r="L190" s="76"/>
      <c r="M190" s="80"/>
      <c r="N190" s="96"/>
    </row>
    <row r="191" customFormat="false" ht="22.5" hidden="false" customHeight="true" outlineLevel="0" collapsed="false">
      <c r="A191" s="94"/>
      <c r="B191" s="95"/>
      <c r="C191" s="84"/>
      <c r="D191" s="76"/>
      <c r="E191" s="77"/>
      <c r="F191" s="77"/>
      <c r="G191" s="78"/>
      <c r="H191" s="76" t="str">
        <f aca="true">IF(G191="","",IF(G191=1,"Completed",
IF(G191=0,"Not Started",
IF(AND(F191&lt;&gt;"",ISNUMBER(F191),F191&lt;TODAY()),"Delayed","In Progress")
)
)
)</f>
        <v/>
      </c>
      <c r="I191" s="76"/>
      <c r="J191" s="76"/>
      <c r="K191" s="76"/>
      <c r="L191" s="76"/>
      <c r="M191" s="80"/>
      <c r="N191" s="96"/>
    </row>
    <row r="192" customFormat="false" ht="22.5" hidden="false" customHeight="true" outlineLevel="0" collapsed="false">
      <c r="A192" s="94"/>
      <c r="B192" s="95"/>
      <c r="C192" s="84"/>
      <c r="D192" s="76"/>
      <c r="E192" s="77"/>
      <c r="F192" s="77"/>
      <c r="G192" s="78"/>
      <c r="H192" s="76" t="str">
        <f aca="true">IF(G192="","",IF(G192=1,"Completed",
IF(G192=0,"Not Started",
IF(AND(F192&lt;&gt;"",ISNUMBER(F192),F192&lt;TODAY()),"Delayed","In Progress")
)
)
)</f>
        <v/>
      </c>
      <c r="I192" s="76"/>
      <c r="J192" s="76"/>
      <c r="K192" s="76"/>
      <c r="L192" s="76"/>
      <c r="M192" s="80"/>
      <c r="N192" s="96"/>
    </row>
    <row r="193" customFormat="false" ht="22.5" hidden="false" customHeight="true" outlineLevel="0" collapsed="false">
      <c r="A193" s="94"/>
      <c r="B193" s="95"/>
      <c r="C193" s="84"/>
      <c r="D193" s="76"/>
      <c r="E193" s="77"/>
      <c r="F193" s="77"/>
      <c r="G193" s="78"/>
      <c r="H193" s="76" t="str">
        <f aca="true">IF(G193="","",IF(G193=1,"Completed",
IF(G193=0,"Not Started",
IF(AND(F193&lt;&gt;"",ISNUMBER(F193),F193&lt;TODAY()),"Delayed","In Progress")
)
)
)</f>
        <v/>
      </c>
      <c r="I193" s="76"/>
      <c r="J193" s="76"/>
      <c r="K193" s="76"/>
      <c r="L193" s="76"/>
      <c r="M193" s="80"/>
      <c r="N193" s="96"/>
    </row>
    <row r="194" customFormat="false" ht="22.5" hidden="false" customHeight="true" outlineLevel="0" collapsed="false">
      <c r="A194" s="94"/>
      <c r="B194" s="95"/>
      <c r="C194" s="84"/>
      <c r="D194" s="76"/>
      <c r="E194" s="77"/>
      <c r="F194" s="77"/>
      <c r="G194" s="78"/>
      <c r="H194" s="76" t="str">
        <f aca="true">IF(G194="","",IF(G194=1,"Completed",
IF(G194=0,"Not Started",
IF(AND(F194&lt;&gt;"",ISNUMBER(F194),F194&lt;TODAY()),"Delayed","In Progress")
)
)
)</f>
        <v/>
      </c>
      <c r="I194" s="76"/>
      <c r="J194" s="76"/>
      <c r="K194" s="76"/>
      <c r="L194" s="76"/>
      <c r="M194" s="80"/>
      <c r="N194" s="96"/>
    </row>
    <row r="195" customFormat="false" ht="22.5" hidden="false" customHeight="true" outlineLevel="0" collapsed="false">
      <c r="A195" s="94"/>
      <c r="B195" s="95"/>
      <c r="C195" s="84"/>
      <c r="D195" s="76"/>
      <c r="E195" s="77"/>
      <c r="F195" s="77"/>
      <c r="G195" s="78"/>
      <c r="H195" s="76" t="str">
        <f aca="true">IF(G195="","",IF(G195=1,"Completed",
IF(G195=0,"Not Started",
IF(AND(F195&lt;&gt;"",ISNUMBER(F195),F195&lt;TODAY()),"Delayed","In Progress")
)
)
)</f>
        <v/>
      </c>
      <c r="I195" s="76"/>
      <c r="J195" s="76"/>
      <c r="K195" s="76"/>
      <c r="L195" s="76"/>
      <c r="M195" s="80"/>
      <c r="N195" s="96"/>
    </row>
    <row r="196" customFormat="false" ht="22.5" hidden="false" customHeight="true" outlineLevel="0" collapsed="false">
      <c r="A196" s="94"/>
      <c r="B196" s="95"/>
      <c r="C196" s="84"/>
      <c r="D196" s="76"/>
      <c r="E196" s="77"/>
      <c r="F196" s="77"/>
      <c r="G196" s="78"/>
      <c r="H196" s="76" t="str">
        <f aca="true">IF(G196="","",IF(G196=1,"Completed",
IF(G196=0,"Not Started",
IF(AND(F196&lt;&gt;"",ISNUMBER(F196),F196&lt;TODAY()),"Delayed","In Progress")
)
)
)</f>
        <v/>
      </c>
      <c r="I196" s="76"/>
      <c r="J196" s="76"/>
      <c r="K196" s="76"/>
      <c r="L196" s="76"/>
      <c r="M196" s="80"/>
      <c r="N196" s="96"/>
    </row>
    <row r="197" customFormat="false" ht="22.5" hidden="false" customHeight="true" outlineLevel="0" collapsed="false">
      <c r="A197" s="94"/>
      <c r="B197" s="95"/>
      <c r="C197" s="84"/>
      <c r="D197" s="76"/>
      <c r="E197" s="77"/>
      <c r="F197" s="77"/>
      <c r="G197" s="78"/>
      <c r="H197" s="76" t="str">
        <f aca="true">IF(G197="","",IF(G197=1,"Completed",
IF(G197=0,"Not Started",
IF(AND(F197&lt;&gt;"",ISNUMBER(F197),F197&lt;TODAY()),"Delayed","In Progress")
)
)
)</f>
        <v/>
      </c>
      <c r="I197" s="76"/>
      <c r="J197" s="76"/>
      <c r="K197" s="76"/>
      <c r="L197" s="76"/>
      <c r="M197" s="80"/>
      <c r="N197" s="96"/>
    </row>
    <row r="198" customFormat="false" ht="22.5" hidden="false" customHeight="true" outlineLevel="0" collapsed="false">
      <c r="A198" s="94"/>
      <c r="B198" s="95"/>
      <c r="C198" s="84"/>
      <c r="D198" s="76"/>
      <c r="E198" s="77"/>
      <c r="F198" s="77"/>
      <c r="G198" s="78"/>
      <c r="H198" s="76" t="str">
        <f aca="true">IF(G198="","",IF(G198=1,"Completed",
  IF(G198=0,"Not Started",
   IF(AND(F198&lt;&gt;"",ISNUMBER(F198),F198&lt;TODAY()),"Delayed","In Progress")
  )
 )
)</f>
        <v/>
      </c>
      <c r="I198" s="76"/>
      <c r="J198" s="76"/>
      <c r="K198" s="76"/>
      <c r="L198" s="76"/>
      <c r="M198" s="80"/>
      <c r="N198" s="96"/>
    </row>
    <row r="199" customFormat="false" ht="22.5" hidden="false" customHeight="true" outlineLevel="0" collapsed="false">
      <c r="A199" s="94"/>
      <c r="B199" s="95"/>
      <c r="C199" s="84"/>
      <c r="D199" s="76"/>
      <c r="E199" s="77"/>
      <c r="F199" s="77"/>
      <c r="G199" s="78"/>
      <c r="H199" s="76" t="str">
        <f aca="true">IF(G199="","",IF(G199=1,"Completed",
IF(G199=0,"Not Started",
IF(AND(F199&lt;&gt;"",ISNUMBER(F199),F199&lt;TODAY()),"Delayed","In Progress")
)
)
)</f>
        <v/>
      </c>
      <c r="I199" s="76"/>
      <c r="J199" s="76"/>
      <c r="K199" s="76"/>
      <c r="L199" s="76"/>
      <c r="M199" s="80"/>
      <c r="N199" s="96"/>
    </row>
    <row r="200" customFormat="false" ht="22.5" hidden="false" customHeight="true" outlineLevel="0" collapsed="false">
      <c r="A200" s="94"/>
      <c r="B200" s="95"/>
      <c r="C200" s="84"/>
      <c r="D200" s="76"/>
      <c r="E200" s="77"/>
      <c r="F200" s="77"/>
      <c r="G200" s="78"/>
      <c r="H200" s="76" t="str">
        <f aca="true">IF(G200="","",IF(G200=1,"Completed",
IF(G200=0,"Not Started",
IF(AND(F200&lt;&gt;"",ISNUMBER(F200),F200&lt;TODAY()),"Delayed","In Progress")
)
)
)</f>
        <v/>
      </c>
      <c r="I200" s="76"/>
      <c r="J200" s="76"/>
      <c r="K200" s="76"/>
      <c r="L200" s="76"/>
      <c r="M200" s="80"/>
      <c r="N200" s="96"/>
    </row>
    <row r="201" customFormat="false" ht="22.5" hidden="false" customHeight="true" outlineLevel="0" collapsed="false">
      <c r="A201" s="94"/>
      <c r="B201" s="95"/>
      <c r="C201" s="84"/>
      <c r="D201" s="76"/>
      <c r="E201" s="77"/>
      <c r="F201" s="77"/>
      <c r="G201" s="78"/>
      <c r="H201" s="76" t="str">
        <f aca="true">IF(G201="","",IF(G201=1,"Completed",
IF(G201=0,"Not Started",
IF(AND(F201&lt;&gt;"",ISNUMBER(F201),F201&lt;TODAY()),"Delayed","In Progress")
)
)
)</f>
        <v/>
      </c>
      <c r="I201" s="76"/>
      <c r="J201" s="76"/>
      <c r="K201" s="76"/>
      <c r="L201" s="76"/>
      <c r="M201" s="80"/>
      <c r="N201" s="96"/>
    </row>
    <row r="202" customFormat="false" ht="22.5" hidden="false" customHeight="true" outlineLevel="0" collapsed="false">
      <c r="A202" s="94"/>
      <c r="B202" s="95"/>
      <c r="C202" s="84"/>
      <c r="D202" s="76"/>
      <c r="E202" s="77"/>
      <c r="F202" s="77"/>
      <c r="G202" s="78"/>
      <c r="H202" s="76" t="str">
        <f aca="true">IF(G202="","",IF(G202=1,"Completed",
IF(G202=0,"Not Started",
IF(AND(F202&lt;&gt;"",ISNUMBER(F202),F202&lt;TODAY()),"Delayed","In Progress")
)
)
)</f>
        <v/>
      </c>
      <c r="I202" s="76"/>
      <c r="J202" s="76"/>
      <c r="K202" s="76"/>
      <c r="L202" s="76"/>
      <c r="M202" s="80"/>
      <c r="N202" s="96"/>
    </row>
    <row r="203" customFormat="false" ht="22.5" hidden="false" customHeight="true" outlineLevel="0" collapsed="false">
      <c r="A203" s="94"/>
      <c r="B203" s="95"/>
      <c r="C203" s="84"/>
      <c r="D203" s="76"/>
      <c r="E203" s="77"/>
      <c r="F203" s="77"/>
      <c r="G203" s="78"/>
      <c r="H203" s="76" t="str">
        <f aca="true">IF(G203="","",IF(G203=1,"Completed",
IF(G203=0,"Not Started",
IF(AND(F203&lt;&gt;"",ISNUMBER(F203),F203&lt;TODAY()),"Delayed","In Progress")
)
)
)</f>
        <v/>
      </c>
      <c r="I203" s="76"/>
      <c r="J203" s="76"/>
      <c r="K203" s="76"/>
      <c r="L203" s="76"/>
      <c r="M203" s="80"/>
      <c r="N203" s="96"/>
    </row>
    <row r="204" customFormat="false" ht="22.5" hidden="false" customHeight="true" outlineLevel="0" collapsed="false">
      <c r="A204" s="94"/>
      <c r="B204" s="95"/>
      <c r="C204" s="84"/>
      <c r="D204" s="76"/>
      <c r="E204" s="77"/>
      <c r="F204" s="77"/>
      <c r="G204" s="78"/>
      <c r="H204" s="76" t="str">
        <f aca="true">IF(G204="","",IF(G204=1,"Completed",
IF(G204=0,"Not Started",
IF(AND(F204&lt;&gt;"",ISNUMBER(F204),F204&lt;TODAY()),"Delayed","In Progress")
)
)
)</f>
        <v/>
      </c>
      <c r="I204" s="76"/>
      <c r="J204" s="76"/>
      <c r="K204" s="76"/>
      <c r="L204" s="76"/>
      <c r="M204" s="80"/>
      <c r="N204" s="96"/>
    </row>
    <row r="205" customFormat="false" ht="22.5" hidden="false" customHeight="true" outlineLevel="0" collapsed="false">
      <c r="A205" s="94"/>
      <c r="B205" s="95"/>
      <c r="C205" s="84"/>
      <c r="D205" s="76"/>
      <c r="E205" s="77"/>
      <c r="F205" s="77"/>
      <c r="G205" s="78"/>
      <c r="H205" s="76" t="str">
        <f aca="true">IF(G205="","",IF(G205=1,"Completed",
IF(G205=0,"Not Started",
IF(AND(F205&lt;&gt;"",ISNUMBER(F205),F205&lt;TODAY()),"Delayed","In Progress")
)
)
)</f>
        <v/>
      </c>
      <c r="I205" s="76"/>
      <c r="J205" s="76"/>
      <c r="K205" s="76"/>
      <c r="L205" s="76"/>
      <c r="M205" s="80"/>
      <c r="N205" s="96"/>
    </row>
    <row r="206" customFormat="false" ht="22.5" hidden="false" customHeight="true" outlineLevel="0" collapsed="false">
      <c r="A206" s="94"/>
      <c r="B206" s="95"/>
      <c r="C206" s="84"/>
      <c r="D206" s="76"/>
      <c r="E206" s="77"/>
      <c r="F206" s="77"/>
      <c r="G206" s="78"/>
      <c r="H206" s="76" t="str">
        <f aca="true">IF(G206="","",IF(G206=1,"Completed",
IF(G206=0,"Not Started",
IF(AND(F206&lt;&gt;"",ISNUMBER(F206),F206&lt;TODAY()),"Delayed","In Progress")
)
)
)</f>
        <v/>
      </c>
      <c r="I206" s="76"/>
      <c r="J206" s="76"/>
      <c r="K206" s="76"/>
      <c r="L206" s="76"/>
      <c r="M206" s="80"/>
      <c r="N206" s="96"/>
    </row>
    <row r="207" customFormat="false" ht="22.5" hidden="false" customHeight="true" outlineLevel="0" collapsed="false">
      <c r="A207" s="94"/>
      <c r="B207" s="95"/>
      <c r="C207" s="84"/>
      <c r="D207" s="76"/>
      <c r="E207" s="77"/>
      <c r="F207" s="77"/>
      <c r="G207" s="78"/>
      <c r="H207" s="76" t="str">
        <f aca="true">IF(G207="","",IF(G207=1,"Completed",
IF(G207=0,"Not Started",
IF(AND(F207&lt;&gt;"",ISNUMBER(F207),F207&lt;TODAY()),"Delayed","In Progress")
)
)
)</f>
        <v/>
      </c>
      <c r="I207" s="76"/>
      <c r="J207" s="76"/>
      <c r="K207" s="76"/>
      <c r="L207" s="76"/>
      <c r="M207" s="80"/>
      <c r="N207" s="96"/>
    </row>
    <row r="208" customFormat="false" ht="22.5" hidden="false" customHeight="true" outlineLevel="0" collapsed="false">
      <c r="A208" s="94"/>
      <c r="B208" s="95"/>
      <c r="C208" s="84"/>
      <c r="D208" s="76"/>
      <c r="E208" s="77"/>
      <c r="F208" s="77"/>
      <c r="G208" s="78"/>
      <c r="H208" s="76" t="str">
        <f aca="true">IF(G208="","",IF(G208=1,"Completed",
IF(G208=0,"Not Started",
IF(AND(F208&lt;&gt;"",ISNUMBER(F208),F208&lt;TODAY()),"Delayed","In Progress")
)
)
)</f>
        <v/>
      </c>
      <c r="I208" s="76"/>
      <c r="J208" s="76"/>
      <c r="K208" s="76"/>
      <c r="L208" s="76"/>
      <c r="M208" s="80"/>
      <c r="N208" s="96"/>
    </row>
    <row r="209" customFormat="false" ht="22.5" hidden="false" customHeight="true" outlineLevel="0" collapsed="false">
      <c r="A209" s="94"/>
      <c r="B209" s="95"/>
      <c r="C209" s="84"/>
      <c r="D209" s="76"/>
      <c r="E209" s="77"/>
      <c r="F209" s="77"/>
      <c r="G209" s="78"/>
      <c r="H209" s="76" t="str">
        <f aca="true">IF(G209="","",IF(G209=1,"Completed",
IF(G209=0,"Not Started",
IF(AND(F209&lt;&gt;"",ISNUMBER(F209),F209&lt;TODAY()),"Delayed","In Progress")
)
)
)</f>
        <v/>
      </c>
      <c r="I209" s="76"/>
      <c r="J209" s="76"/>
      <c r="K209" s="76"/>
      <c r="L209" s="76"/>
      <c r="M209" s="80"/>
      <c r="N209" s="96"/>
    </row>
    <row r="210" customFormat="false" ht="22.5" hidden="false" customHeight="true" outlineLevel="0" collapsed="false">
      <c r="A210" s="94"/>
      <c r="B210" s="95"/>
      <c r="C210" s="84"/>
      <c r="D210" s="76"/>
      <c r="E210" s="77"/>
      <c r="F210" s="77"/>
      <c r="G210" s="78"/>
      <c r="H210" s="76" t="str">
        <f aca="true">IF(G210="","",IF(G210=1,"Completed",
IF(G210=0,"Not Started",
IF(AND(F210&lt;&gt;"",ISNUMBER(F210),F210&lt;TODAY()),"Delayed","In Progress")
)
)
)</f>
        <v/>
      </c>
      <c r="I210" s="76"/>
      <c r="J210" s="76"/>
      <c r="K210" s="76"/>
      <c r="L210" s="76"/>
      <c r="M210" s="80"/>
      <c r="N210" s="96"/>
    </row>
    <row r="211" customFormat="false" ht="22.5" hidden="false" customHeight="true" outlineLevel="0" collapsed="false">
      <c r="A211" s="94"/>
      <c r="B211" s="95"/>
      <c r="C211" s="84"/>
      <c r="D211" s="76"/>
      <c r="E211" s="77"/>
      <c r="F211" s="77"/>
      <c r="G211" s="78"/>
      <c r="H211" s="76" t="str">
        <f aca="true">IF(G211="","",IF(G211=1,"Completed",
IF(G211=0,"Not Started",
IF(AND(F211&lt;&gt;"",ISNUMBER(F211),F211&lt;TODAY()),"Delayed","In Progress")
)
)
)</f>
        <v/>
      </c>
      <c r="I211" s="76"/>
      <c r="J211" s="76"/>
      <c r="K211" s="76"/>
      <c r="L211" s="76"/>
      <c r="M211" s="80"/>
      <c r="N211" s="96"/>
    </row>
    <row r="212" customFormat="false" ht="22.5" hidden="false" customHeight="true" outlineLevel="0" collapsed="false">
      <c r="A212" s="94"/>
      <c r="B212" s="95"/>
      <c r="C212" s="84"/>
      <c r="D212" s="76"/>
      <c r="E212" s="77"/>
      <c r="F212" s="77"/>
      <c r="G212" s="78"/>
      <c r="H212" s="76" t="str">
        <f aca="true">IF(G212="","",IF(G212=1,"Completed",
IF(G212=0,"Not Started",
IF(AND(F212&lt;&gt;"",ISNUMBER(F212),F212&lt;TODAY()),"Delayed","In Progress")
)
)
)</f>
        <v/>
      </c>
      <c r="I212" s="76"/>
      <c r="J212" s="76"/>
      <c r="K212" s="76"/>
      <c r="L212" s="76"/>
      <c r="M212" s="80"/>
      <c r="N212" s="96"/>
    </row>
    <row r="213" customFormat="false" ht="22.5" hidden="false" customHeight="true" outlineLevel="0" collapsed="false">
      <c r="A213" s="94"/>
      <c r="B213" s="95"/>
      <c r="C213" s="84"/>
      <c r="D213" s="76"/>
      <c r="E213" s="77"/>
      <c r="F213" s="77"/>
      <c r="G213" s="78"/>
      <c r="H213" s="76" t="str">
        <f aca="true">IF(G213="","",IF(G213=1,"Completed",
IF(G213=0,"Not Started",
IF(AND(F213&lt;&gt;"",ISNUMBER(F213),F213&lt;TODAY()),"Delayed","In Progress")
)
)
)</f>
        <v/>
      </c>
      <c r="I213" s="76"/>
      <c r="J213" s="76"/>
      <c r="K213" s="76"/>
      <c r="L213" s="76"/>
      <c r="M213" s="80"/>
      <c r="N213" s="96"/>
    </row>
    <row r="214" customFormat="false" ht="22.5" hidden="false" customHeight="true" outlineLevel="0" collapsed="false">
      <c r="A214" s="94"/>
      <c r="B214" s="95"/>
      <c r="C214" s="84"/>
      <c r="D214" s="76"/>
      <c r="E214" s="77"/>
      <c r="F214" s="77"/>
      <c r="G214" s="78"/>
      <c r="H214" s="76" t="str">
        <f aca="true">IF(G214="","",IF(G214=1,"Completed",
IF(G214=0,"Not Started",
IF(AND(F214&lt;&gt;"",ISNUMBER(F214),F214&lt;TODAY()),"Delayed","In Progress")
)
)
)</f>
        <v/>
      </c>
      <c r="I214" s="76"/>
      <c r="J214" s="76"/>
      <c r="K214" s="76"/>
      <c r="L214" s="76"/>
      <c r="M214" s="80"/>
      <c r="N214" s="96"/>
    </row>
    <row r="215" customFormat="false" ht="22.5" hidden="false" customHeight="true" outlineLevel="0" collapsed="false">
      <c r="A215" s="94"/>
      <c r="B215" s="95"/>
      <c r="C215" s="84"/>
      <c r="D215" s="76"/>
      <c r="E215" s="77"/>
      <c r="F215" s="77"/>
      <c r="G215" s="78"/>
      <c r="H215" s="76" t="str">
        <f aca="true">IF(G215="","",IF(G215=1,"Completed",
IF(G215=0,"Not Started",
IF(AND(F215&lt;&gt;"",ISNUMBER(F215),F215&lt;TODAY()),"Delayed","In Progress")
)
)
)</f>
        <v/>
      </c>
      <c r="I215" s="76"/>
      <c r="J215" s="76"/>
      <c r="K215" s="76"/>
      <c r="L215" s="76"/>
      <c r="M215" s="80"/>
      <c r="N215" s="96"/>
    </row>
    <row r="216" customFormat="false" ht="22.5" hidden="false" customHeight="true" outlineLevel="0" collapsed="false">
      <c r="A216" s="94"/>
      <c r="B216" s="95"/>
      <c r="C216" s="84"/>
      <c r="D216" s="76"/>
      <c r="E216" s="77"/>
      <c r="F216" s="77"/>
      <c r="G216" s="78"/>
      <c r="H216" s="76" t="str">
        <f aca="true">IF(G216="","",IF(G216=1,"Completed",
IF(G216=0,"Not Started",
IF(AND(F216&lt;&gt;"",ISNUMBER(F216),F216&lt;TODAY()),"Delayed","In Progress")
)
)
)</f>
        <v/>
      </c>
      <c r="I216" s="76"/>
      <c r="J216" s="76"/>
      <c r="K216" s="76"/>
      <c r="L216" s="76"/>
      <c r="M216" s="80"/>
      <c r="N216" s="96"/>
    </row>
    <row r="217" customFormat="false" ht="22.5" hidden="false" customHeight="true" outlineLevel="0" collapsed="false">
      <c r="A217" s="94"/>
      <c r="B217" s="95"/>
      <c r="C217" s="84"/>
      <c r="D217" s="76"/>
      <c r="E217" s="77"/>
      <c r="F217" s="77"/>
      <c r="G217" s="78"/>
      <c r="H217" s="76" t="str">
        <f aca="true">IF(G217="","",IF(G217=1,"Completed",
IF(G217=0,"Not Started",
IF(AND(F217&lt;&gt;"",ISNUMBER(F217),F217&lt;TODAY()),"Delayed","In Progress")
)
)
)</f>
        <v/>
      </c>
      <c r="I217" s="76"/>
      <c r="J217" s="76"/>
      <c r="K217" s="76"/>
      <c r="L217" s="76"/>
      <c r="M217" s="80"/>
      <c r="N217" s="96"/>
    </row>
    <row r="218" customFormat="false" ht="22.5" hidden="false" customHeight="true" outlineLevel="0" collapsed="false">
      <c r="A218" s="94"/>
      <c r="B218" s="95"/>
      <c r="C218" s="84"/>
      <c r="D218" s="76"/>
      <c r="E218" s="77"/>
      <c r="F218" s="77"/>
      <c r="G218" s="78"/>
      <c r="H218" s="76" t="str">
        <f aca="true">IF(G218="","",IF(G218=1,"Completed",
IF(G218=0,"Not Started",
IF(AND(F218&lt;&gt;"",ISNUMBER(F218),F218&lt;TODAY()),"Delayed","In Progress")
)
)
)</f>
        <v/>
      </c>
      <c r="I218" s="76"/>
      <c r="J218" s="76"/>
      <c r="K218" s="76"/>
      <c r="L218" s="76"/>
      <c r="M218" s="80"/>
      <c r="N218" s="96"/>
    </row>
    <row r="219" customFormat="false" ht="22.5" hidden="false" customHeight="true" outlineLevel="0" collapsed="false">
      <c r="A219" s="94"/>
      <c r="B219" s="95"/>
      <c r="C219" s="84"/>
      <c r="D219" s="76"/>
      <c r="E219" s="77"/>
      <c r="F219" s="77"/>
      <c r="G219" s="78"/>
      <c r="H219" s="76" t="str">
        <f aca="true">IF(G219="","",IF(G219=1,"Completed",
IF(G219=0,"Not Started",
IF(AND(F219&lt;&gt;"",ISNUMBER(F219),F219&lt;TODAY()),"Delayed","In Progress")
)
)
)</f>
        <v/>
      </c>
      <c r="I219" s="76"/>
      <c r="J219" s="76"/>
      <c r="K219" s="76"/>
      <c r="L219" s="76"/>
      <c r="M219" s="80"/>
      <c r="N219" s="96"/>
    </row>
    <row r="220" customFormat="false" ht="22.5" hidden="false" customHeight="true" outlineLevel="0" collapsed="false">
      <c r="A220" s="94"/>
      <c r="B220" s="95"/>
      <c r="C220" s="84"/>
      <c r="D220" s="76"/>
      <c r="E220" s="77"/>
      <c r="F220" s="77"/>
      <c r="G220" s="78"/>
      <c r="H220" s="76" t="str">
        <f aca="true">IF(G220="","",IF(G220=1,"Completed",
IF(G220=0,"Not Started",
IF(AND(F220&lt;&gt;"",ISNUMBER(F220),F220&lt;TODAY()),"Delayed","In Progress")
)
)
)</f>
        <v/>
      </c>
      <c r="I220" s="76"/>
      <c r="J220" s="76"/>
      <c r="K220" s="76"/>
      <c r="L220" s="76"/>
      <c r="M220" s="80"/>
      <c r="N220" s="96"/>
    </row>
    <row r="221" customFormat="false" ht="22.5" hidden="false" customHeight="true" outlineLevel="0" collapsed="false">
      <c r="A221" s="94"/>
      <c r="B221" s="95"/>
      <c r="C221" s="84"/>
      <c r="D221" s="76"/>
      <c r="E221" s="77"/>
      <c r="F221" s="77"/>
      <c r="G221" s="78"/>
      <c r="H221" s="76" t="str">
        <f aca="true">IF(G221="","",IF(G221=1,"Completed",
IF(G221=0,"Not Started",
IF(AND(F221&lt;&gt;"",ISNUMBER(F221),F221&lt;TODAY()),"Delayed","In Progress")
)
)
)</f>
        <v/>
      </c>
      <c r="I221" s="76"/>
      <c r="J221" s="76"/>
      <c r="K221" s="76"/>
      <c r="L221" s="76"/>
      <c r="M221" s="80"/>
      <c r="N221" s="96"/>
    </row>
    <row r="222" customFormat="false" ht="22.5" hidden="false" customHeight="true" outlineLevel="0" collapsed="false">
      <c r="A222" s="94"/>
      <c r="B222" s="95"/>
      <c r="C222" s="84"/>
      <c r="D222" s="76"/>
      <c r="E222" s="77"/>
      <c r="F222" s="77"/>
      <c r="G222" s="78"/>
      <c r="H222" s="76" t="str">
        <f aca="true">IF(G222="","",IF(G222=1,"Completed",
IF(G222=0,"Not Started",
IF(AND(F222&lt;&gt;"",ISNUMBER(F222),F222&lt;TODAY()),"Delayed","In Progress")
)
)
)</f>
        <v/>
      </c>
      <c r="I222" s="76"/>
      <c r="J222" s="76"/>
      <c r="K222" s="76"/>
      <c r="L222" s="76"/>
      <c r="M222" s="80"/>
      <c r="N222" s="96"/>
    </row>
    <row r="223" customFormat="false" ht="22.5" hidden="false" customHeight="true" outlineLevel="0" collapsed="false">
      <c r="A223" s="94"/>
      <c r="B223" s="95"/>
      <c r="C223" s="84"/>
      <c r="D223" s="76"/>
      <c r="E223" s="77"/>
      <c r="F223" s="77"/>
      <c r="G223" s="78"/>
      <c r="H223" s="76" t="str">
        <f aca="true">IF(G223="","",IF(G223=1,"Completed",
IF(G223=0,"Not Started",
IF(AND(F223&lt;&gt;"",ISNUMBER(F223),F223&lt;TODAY()),"Delayed","In Progress")
)
)
)</f>
        <v/>
      </c>
      <c r="I223" s="76"/>
      <c r="J223" s="76"/>
      <c r="K223" s="76"/>
      <c r="L223" s="76"/>
      <c r="M223" s="80"/>
      <c r="N223" s="96"/>
    </row>
    <row r="224" customFormat="false" ht="22.5" hidden="false" customHeight="true" outlineLevel="0" collapsed="false">
      <c r="A224" s="94"/>
      <c r="B224" s="95"/>
      <c r="C224" s="84"/>
      <c r="D224" s="76"/>
      <c r="E224" s="77"/>
      <c r="F224" s="77"/>
      <c r="G224" s="78"/>
      <c r="H224" s="76" t="str">
        <f aca="true">IF(G224="","",IF(G224=1,"Completed",
IF(G224=0,"Not Started",
IF(AND(F224&lt;&gt;"",ISNUMBER(F224),F224&lt;TODAY()),"Delayed","In Progress")
)
)
)</f>
        <v/>
      </c>
      <c r="I224" s="76"/>
      <c r="J224" s="76"/>
      <c r="K224" s="76"/>
      <c r="L224" s="76"/>
      <c r="M224" s="80"/>
      <c r="N224" s="96"/>
    </row>
    <row r="225" customFormat="false" ht="22.5" hidden="false" customHeight="true" outlineLevel="0" collapsed="false">
      <c r="A225" s="94"/>
      <c r="B225" s="95"/>
      <c r="C225" s="84"/>
      <c r="D225" s="76"/>
      <c r="E225" s="77"/>
      <c r="F225" s="77"/>
      <c r="G225" s="78"/>
      <c r="H225" s="76" t="str">
        <f aca="true">IF(G225="","",IF(G225=1,"Completed",
IF(G225=0,"Not Started",
IF(AND(F225&lt;&gt;"",ISNUMBER(F225),F225&lt;TODAY()),"Delayed","In Progress")
)
)
)</f>
        <v/>
      </c>
      <c r="I225" s="76"/>
      <c r="J225" s="76"/>
      <c r="K225" s="76"/>
      <c r="L225" s="76"/>
      <c r="M225" s="80"/>
      <c r="N225" s="96"/>
    </row>
    <row r="226" customFormat="false" ht="22.5" hidden="false" customHeight="true" outlineLevel="0" collapsed="false">
      <c r="A226" s="94"/>
      <c r="B226" s="95"/>
      <c r="C226" s="84"/>
      <c r="D226" s="76"/>
      <c r="E226" s="77"/>
      <c r="F226" s="77"/>
      <c r="G226" s="78"/>
      <c r="H226" s="76" t="str">
        <f aca="true">IF(G226="","",IF(G226=1,"Completed",
IF(G226=0,"Not Started",
IF(AND(F226&lt;&gt;"",ISNUMBER(F226),F226&lt;TODAY()),"Delayed","In Progress")
)
)
)</f>
        <v/>
      </c>
      <c r="I226" s="76"/>
      <c r="J226" s="76"/>
      <c r="K226" s="76"/>
      <c r="L226" s="76"/>
      <c r="M226" s="80"/>
      <c r="N226" s="96"/>
    </row>
    <row r="227" customFormat="false" ht="22.5" hidden="false" customHeight="true" outlineLevel="0" collapsed="false">
      <c r="A227" s="94"/>
      <c r="B227" s="95"/>
      <c r="C227" s="84"/>
      <c r="D227" s="76"/>
      <c r="E227" s="77"/>
      <c r="F227" s="77"/>
      <c r="G227" s="78"/>
      <c r="H227" s="76" t="str">
        <f aca="true">IF(G227="","",IF(G227=1,"Completed",
IF(G227=0,"Not Started",
IF(AND(F227&lt;&gt;"",ISNUMBER(F227),F227&lt;TODAY()),"Delayed","In Progress")
)
)
)</f>
        <v/>
      </c>
      <c r="I227" s="76"/>
      <c r="J227" s="76"/>
      <c r="K227" s="76"/>
      <c r="L227" s="76"/>
      <c r="M227" s="80"/>
      <c r="N227" s="96"/>
    </row>
    <row r="228" customFormat="false" ht="22.5" hidden="false" customHeight="true" outlineLevel="0" collapsed="false">
      <c r="A228" s="94"/>
      <c r="B228" s="95"/>
      <c r="C228" s="84"/>
      <c r="D228" s="76"/>
      <c r="E228" s="77"/>
      <c r="F228" s="77"/>
      <c r="G228" s="78"/>
      <c r="H228" s="76" t="str">
        <f aca="true">IF(G228="","",IF(G228=1,"Completed",
IF(G228=0,"Not Started",
IF(AND(F228&lt;&gt;"",ISNUMBER(F228),F228&lt;TODAY()),"Delayed","In Progress")
)
)
)</f>
        <v/>
      </c>
      <c r="I228" s="76"/>
      <c r="J228" s="76"/>
      <c r="K228" s="76"/>
      <c r="L228" s="76"/>
      <c r="M228" s="80"/>
      <c r="N228" s="96"/>
    </row>
    <row r="229" customFormat="false" ht="22.5" hidden="false" customHeight="true" outlineLevel="0" collapsed="false">
      <c r="A229" s="94"/>
      <c r="B229" s="95"/>
      <c r="C229" s="84"/>
      <c r="D229" s="76"/>
      <c r="E229" s="77"/>
      <c r="F229" s="77"/>
      <c r="G229" s="78"/>
      <c r="H229" s="76" t="str">
        <f aca="true">IF(G229="","",IF(G229=1,"Completed",
IF(G229=0,"Not Started",
IF(AND(F229&lt;&gt;"",ISNUMBER(F229),F229&lt;TODAY()),"Delayed","In Progress")
)
)
)</f>
        <v/>
      </c>
      <c r="I229" s="76"/>
      <c r="J229" s="76"/>
      <c r="K229" s="76"/>
      <c r="L229" s="76"/>
      <c r="M229" s="80"/>
      <c r="N229" s="96"/>
    </row>
    <row r="230" customFormat="false" ht="22.5" hidden="false" customHeight="true" outlineLevel="0" collapsed="false">
      <c r="A230" s="94"/>
      <c r="B230" s="95"/>
      <c r="C230" s="84"/>
      <c r="D230" s="76"/>
      <c r="E230" s="77"/>
      <c r="F230" s="77"/>
      <c r="G230" s="78"/>
      <c r="H230" s="76" t="str">
        <f aca="true">IF(G230="","",IF(G230=1,"Completed",
IF(G230=0,"Not Started",
IF(AND(F230&lt;&gt;"",ISNUMBER(F230),F230&lt;TODAY()),"Delayed","In Progress")
)
)
)</f>
        <v/>
      </c>
      <c r="I230" s="76"/>
      <c r="J230" s="76"/>
      <c r="K230" s="76"/>
      <c r="L230" s="76"/>
      <c r="M230" s="80"/>
      <c r="N230" s="96"/>
    </row>
    <row r="231" customFormat="false" ht="22.5" hidden="false" customHeight="true" outlineLevel="0" collapsed="false">
      <c r="A231" s="94"/>
      <c r="B231" s="95"/>
      <c r="C231" s="84"/>
      <c r="D231" s="76"/>
      <c r="E231" s="77"/>
      <c r="F231" s="77"/>
      <c r="G231" s="78"/>
      <c r="H231" s="76" t="str">
        <f aca="true">IF(G231="","",IF(G231=1,"Completed",
IF(G231=0,"Not Started",
IF(AND(F231&lt;&gt;"",ISNUMBER(F231),F231&lt;TODAY()),"Delayed","In Progress")
)
)
)</f>
        <v/>
      </c>
      <c r="I231" s="76"/>
      <c r="J231" s="76"/>
      <c r="K231" s="76"/>
      <c r="L231" s="76"/>
      <c r="M231" s="80"/>
      <c r="N231" s="96"/>
    </row>
    <row r="232" customFormat="false" ht="22.5" hidden="false" customHeight="true" outlineLevel="0" collapsed="false">
      <c r="A232" s="94"/>
      <c r="B232" s="95"/>
      <c r="C232" s="84"/>
      <c r="D232" s="76"/>
      <c r="E232" s="77"/>
      <c r="F232" s="77"/>
      <c r="G232" s="78"/>
      <c r="H232" s="76" t="str">
        <f aca="true">IF(G232="","",IF(G232=1,"Completed",
IF(G232=0,"Not Started",
IF(AND(F232&lt;&gt;"",ISNUMBER(F232),F232&lt;TODAY()),"Delayed","In Progress")
)
)
)</f>
        <v/>
      </c>
      <c r="I232" s="76"/>
      <c r="J232" s="76"/>
      <c r="K232" s="76"/>
      <c r="L232" s="76"/>
      <c r="M232" s="80"/>
      <c r="N232" s="96"/>
    </row>
    <row r="233" customFormat="false" ht="22.5" hidden="false" customHeight="true" outlineLevel="0" collapsed="false">
      <c r="A233" s="94"/>
      <c r="B233" s="95"/>
      <c r="C233" s="84"/>
      <c r="D233" s="76"/>
      <c r="E233" s="77"/>
      <c r="F233" s="77"/>
      <c r="G233" s="78"/>
      <c r="H233" s="76" t="str">
        <f aca="true">IF(G233="","",IF(G233=1,"Completed",
IF(G233=0,"Not Started",
IF(AND(F233&lt;&gt;"",ISNUMBER(F233),F233&lt;TODAY()),"Delayed","In Progress")
)
)
)</f>
        <v/>
      </c>
      <c r="I233" s="76"/>
      <c r="J233" s="76"/>
      <c r="K233" s="76"/>
      <c r="L233" s="76"/>
      <c r="M233" s="80"/>
      <c r="N233" s="96"/>
    </row>
    <row r="234" customFormat="false" ht="22.5" hidden="false" customHeight="true" outlineLevel="0" collapsed="false">
      <c r="A234" s="94"/>
      <c r="B234" s="95"/>
      <c r="C234" s="84"/>
      <c r="D234" s="76"/>
      <c r="E234" s="77"/>
      <c r="F234" s="77"/>
      <c r="G234" s="78"/>
      <c r="H234" s="76" t="str">
        <f aca="true">IF(G234="","",IF(G234=1,"Completed",
IF(G234=0,"Not Started",
IF(AND(F234&lt;&gt;"",ISNUMBER(F234),F234&lt;TODAY()),"Delayed","In Progress")
)
)
)</f>
        <v/>
      </c>
      <c r="I234" s="76"/>
      <c r="J234" s="76"/>
      <c r="K234" s="76"/>
      <c r="L234" s="76"/>
      <c r="M234" s="80"/>
      <c r="N234" s="96"/>
    </row>
    <row r="235" customFormat="false" ht="22.5" hidden="false" customHeight="true" outlineLevel="0" collapsed="false">
      <c r="A235" s="94"/>
      <c r="B235" s="95"/>
      <c r="C235" s="84"/>
      <c r="D235" s="76"/>
      <c r="E235" s="77"/>
      <c r="F235" s="77"/>
      <c r="G235" s="78"/>
      <c r="H235" s="76" t="str">
        <f aca="true">IF(G235="","",IF(G235=1,"Completed",
IF(G235=0,"Not Started",
IF(AND(F235&lt;&gt;"",ISNUMBER(F235),F235&lt;TODAY()),"Delayed","In Progress")
)
)
)</f>
        <v/>
      </c>
      <c r="I235" s="76"/>
      <c r="J235" s="76"/>
      <c r="K235" s="76"/>
      <c r="L235" s="76"/>
      <c r="M235" s="80"/>
      <c r="N235" s="96"/>
    </row>
    <row r="236" customFormat="false" ht="22.5" hidden="false" customHeight="true" outlineLevel="0" collapsed="false">
      <c r="A236" s="94"/>
      <c r="B236" s="95"/>
      <c r="C236" s="84"/>
      <c r="D236" s="76"/>
      <c r="E236" s="77"/>
      <c r="F236" s="77"/>
      <c r="G236" s="78"/>
      <c r="H236" s="76" t="str">
        <f aca="true">IF(G236="","",IF(G236=1,"Completed",
IF(G236=0,"Not Started",
IF(AND(F236&lt;&gt;"",ISNUMBER(F236),F236&lt;TODAY()),"Delayed","In Progress")
)
)
)</f>
        <v/>
      </c>
      <c r="I236" s="76"/>
      <c r="J236" s="76"/>
      <c r="K236" s="76"/>
      <c r="L236" s="76"/>
      <c r="M236" s="80"/>
      <c r="N236" s="96"/>
    </row>
    <row r="237" customFormat="false" ht="22.5" hidden="false" customHeight="true" outlineLevel="0" collapsed="false">
      <c r="A237" s="94"/>
      <c r="B237" s="95"/>
      <c r="C237" s="84"/>
      <c r="D237" s="76"/>
      <c r="E237" s="77"/>
      <c r="F237" s="77"/>
      <c r="G237" s="78"/>
      <c r="H237" s="76" t="str">
        <f aca="true">IF(G237="","",IF(G237=1,"Completed",
IF(G237=0,"Not Started",
IF(AND(F237&lt;&gt;"",ISNUMBER(F237),F237&lt;TODAY()),"Delayed","In Progress")
)
)
)</f>
        <v/>
      </c>
      <c r="I237" s="76"/>
      <c r="J237" s="76"/>
      <c r="K237" s="76"/>
      <c r="L237" s="76"/>
      <c r="M237" s="80"/>
      <c r="N237" s="96"/>
    </row>
    <row r="238" customFormat="false" ht="22.5" hidden="false" customHeight="true" outlineLevel="0" collapsed="false">
      <c r="A238" s="94"/>
      <c r="B238" s="95"/>
      <c r="C238" s="84"/>
      <c r="D238" s="76"/>
      <c r="E238" s="77"/>
      <c r="F238" s="77"/>
      <c r="G238" s="78"/>
      <c r="H238" s="76" t="str">
        <f aca="true">IF(G238="","",IF(G238=1,"Completed",
IF(G238=0,"Not Started",
IF(AND(F238&lt;&gt;"",ISNUMBER(F238),F238&lt;TODAY()),"Delayed","In Progress")
)
)
)</f>
        <v/>
      </c>
      <c r="I238" s="76"/>
      <c r="J238" s="76"/>
      <c r="K238" s="76"/>
      <c r="L238" s="76"/>
      <c r="M238" s="80"/>
      <c r="N238" s="96"/>
    </row>
    <row r="239" customFormat="false" ht="22.5" hidden="false" customHeight="true" outlineLevel="0" collapsed="false">
      <c r="A239" s="94"/>
      <c r="B239" s="95"/>
      <c r="C239" s="84"/>
      <c r="D239" s="76"/>
      <c r="E239" s="77"/>
      <c r="F239" s="77"/>
      <c r="G239" s="78"/>
      <c r="H239" s="76" t="str">
        <f aca="true">IF(G239="","",IF(G239=1,"Completed",
IF(G239=0,"Not Started",
IF(AND(F239&lt;&gt;"",ISNUMBER(F239),F239&lt;TODAY()),"Delayed","In Progress")
)
)
)</f>
        <v/>
      </c>
      <c r="I239" s="76"/>
      <c r="J239" s="76"/>
      <c r="K239" s="76"/>
      <c r="L239" s="76"/>
      <c r="M239" s="80"/>
      <c r="N239" s="96"/>
    </row>
    <row r="240" customFormat="false" ht="22.5" hidden="false" customHeight="true" outlineLevel="0" collapsed="false">
      <c r="A240" s="94"/>
      <c r="B240" s="95"/>
      <c r="C240" s="84"/>
      <c r="D240" s="76"/>
      <c r="E240" s="77"/>
      <c r="F240" s="77"/>
      <c r="G240" s="78"/>
      <c r="H240" s="76" t="str">
        <f aca="true">IF(G240="","",IF(G240=1,"Completed",
IF(G240=0,"Not Started",
IF(AND(F240&lt;&gt;"",ISNUMBER(F240),F240&lt;TODAY()),"Delayed","In Progress")
)
)
)</f>
        <v/>
      </c>
      <c r="I240" s="76"/>
      <c r="J240" s="76"/>
      <c r="K240" s="76"/>
      <c r="L240" s="76"/>
      <c r="M240" s="80"/>
      <c r="N240" s="96"/>
    </row>
    <row r="241" customFormat="false" ht="22.5" hidden="false" customHeight="true" outlineLevel="0" collapsed="false">
      <c r="A241" s="94"/>
      <c r="B241" s="95"/>
      <c r="C241" s="84"/>
      <c r="D241" s="76"/>
      <c r="E241" s="77"/>
      <c r="F241" s="77"/>
      <c r="G241" s="78"/>
      <c r="H241" s="76" t="str">
        <f aca="true">IF(G241="","",IF(G241=1,"Completed",
IF(G241=0,"Not Started",
IF(AND(F241&lt;&gt;"",ISNUMBER(F241),F241&lt;TODAY()),"Delayed","In Progress")
)
)
)</f>
        <v/>
      </c>
      <c r="I241" s="76"/>
      <c r="J241" s="76"/>
      <c r="K241" s="76"/>
      <c r="L241" s="76"/>
      <c r="M241" s="80"/>
      <c r="N241" s="96"/>
    </row>
    <row r="242" customFormat="false" ht="22.5" hidden="false" customHeight="true" outlineLevel="0" collapsed="false">
      <c r="A242" s="94"/>
      <c r="B242" s="95"/>
      <c r="C242" s="84"/>
      <c r="D242" s="76"/>
      <c r="E242" s="77"/>
      <c r="F242" s="77"/>
      <c r="G242" s="78"/>
      <c r="H242" s="76" t="str">
        <f aca="true">IF(G242="","",IF(G242=1,"Completed",
IF(G242=0,"Not Started",
IF(AND(F242&lt;&gt;"",ISNUMBER(F242),F242&lt;TODAY()),"Delayed","In Progress")
)
)
)</f>
        <v/>
      </c>
      <c r="I242" s="76"/>
      <c r="J242" s="76"/>
      <c r="K242" s="76"/>
      <c r="L242" s="76"/>
      <c r="M242" s="80"/>
      <c r="N242" s="96"/>
    </row>
    <row r="243" customFormat="false" ht="22.5" hidden="false" customHeight="true" outlineLevel="0" collapsed="false">
      <c r="A243" s="94"/>
      <c r="B243" s="95"/>
      <c r="C243" s="84"/>
      <c r="D243" s="76"/>
      <c r="E243" s="77"/>
      <c r="F243" s="77"/>
      <c r="G243" s="78"/>
      <c r="H243" s="76" t="str">
        <f aca="true">IF(G243="","",IF(G243=1,"Completed",
IF(G243=0,"Not Started",
IF(AND(F243&lt;&gt;"",ISNUMBER(F243),F243&lt;TODAY()),"Delayed","In Progress")
)
)
)</f>
        <v/>
      </c>
      <c r="I243" s="76"/>
      <c r="J243" s="76"/>
      <c r="K243" s="76"/>
      <c r="L243" s="76"/>
      <c r="M243" s="80"/>
      <c r="N243" s="96"/>
    </row>
    <row r="244" customFormat="false" ht="22.5" hidden="false" customHeight="true" outlineLevel="0" collapsed="false">
      <c r="A244" s="94"/>
      <c r="B244" s="95"/>
      <c r="C244" s="84"/>
      <c r="D244" s="76"/>
      <c r="E244" s="77"/>
      <c r="F244" s="77"/>
      <c r="G244" s="78"/>
      <c r="H244" s="76" t="str">
        <f aca="true">IF(G244="","",IF(G244=1,"Completed",
IF(G244=0,"Not Started",
IF(AND(F244&lt;&gt;"",ISNUMBER(F244),F244&lt;TODAY()),"Delayed","In Progress")
)
)
)</f>
        <v/>
      </c>
      <c r="I244" s="76"/>
      <c r="J244" s="76"/>
      <c r="K244" s="76"/>
      <c r="L244" s="76"/>
      <c r="M244" s="80"/>
      <c r="N244" s="96"/>
    </row>
    <row r="245" customFormat="false" ht="22.5" hidden="false" customHeight="true" outlineLevel="0" collapsed="false">
      <c r="A245" s="94"/>
      <c r="B245" s="95"/>
      <c r="C245" s="84"/>
      <c r="D245" s="76"/>
      <c r="E245" s="77"/>
      <c r="F245" s="77"/>
      <c r="G245" s="78"/>
      <c r="H245" s="76" t="str">
        <f aca="true">IF(G245="","",IF(G245=1,"Completed",
IF(G245=0,"Not Started",
IF(AND(F245&lt;&gt;"",ISNUMBER(F245),F245&lt;TODAY()),"Delayed","In Progress")
)
)
)</f>
        <v/>
      </c>
      <c r="I245" s="76"/>
      <c r="J245" s="76"/>
      <c r="K245" s="76"/>
      <c r="L245" s="76"/>
      <c r="M245" s="80"/>
      <c r="N245" s="96"/>
    </row>
    <row r="246" customFormat="false" ht="22.5" hidden="false" customHeight="true" outlineLevel="0" collapsed="false">
      <c r="A246" s="94"/>
      <c r="B246" s="95"/>
      <c r="C246" s="84"/>
      <c r="D246" s="76"/>
      <c r="E246" s="77"/>
      <c r="F246" s="77"/>
      <c r="G246" s="78"/>
      <c r="H246" s="76" t="str">
        <f aca="true">IF(G246="","",IF(G246=1,"Completed",
IF(G246=0,"Not Started",
IF(AND(F246&lt;&gt;"",ISNUMBER(F246),F246&lt;TODAY()),"Delayed","In Progress")
)
)
)</f>
        <v/>
      </c>
      <c r="I246" s="76"/>
      <c r="J246" s="76"/>
      <c r="K246" s="76"/>
      <c r="L246" s="76"/>
      <c r="M246" s="80"/>
      <c r="N246" s="96"/>
    </row>
    <row r="247" customFormat="false" ht="22.5" hidden="false" customHeight="true" outlineLevel="0" collapsed="false">
      <c r="A247" s="94"/>
      <c r="B247" s="95"/>
      <c r="C247" s="84"/>
      <c r="D247" s="76"/>
      <c r="E247" s="77"/>
      <c r="F247" s="77"/>
      <c r="G247" s="78"/>
      <c r="H247" s="76" t="str">
        <f aca="true">IF(G247="","",IF(G247=1,"Completed",
IF(G247=0,"Not Started",
IF(AND(F247&lt;&gt;"",ISNUMBER(F247),F247&lt;TODAY()),"Delayed","In Progress")
)
)
)</f>
        <v/>
      </c>
      <c r="I247" s="76"/>
      <c r="J247" s="76"/>
      <c r="K247" s="76"/>
      <c r="L247" s="76"/>
      <c r="M247" s="80"/>
      <c r="N247" s="96"/>
    </row>
    <row r="248" customFormat="false" ht="22.5" hidden="false" customHeight="true" outlineLevel="0" collapsed="false">
      <c r="A248" s="94"/>
      <c r="B248" s="95"/>
      <c r="C248" s="84"/>
      <c r="D248" s="76"/>
      <c r="E248" s="77"/>
      <c r="F248" s="77"/>
      <c r="G248" s="78"/>
      <c r="H248" s="76" t="str">
        <f aca="true">IF(G248="","",IF(G248=1,"Completed",
IF(G248=0,"Not Started",
IF(AND(F248&lt;&gt;"",ISNUMBER(F248),F248&lt;TODAY()),"Delayed","In Progress")
)
)
)</f>
        <v/>
      </c>
      <c r="I248" s="76"/>
      <c r="J248" s="76"/>
      <c r="K248" s="76"/>
      <c r="L248" s="76"/>
      <c r="M248" s="80"/>
      <c r="N248" s="96"/>
    </row>
    <row r="249" customFormat="false" ht="22.5" hidden="false" customHeight="true" outlineLevel="0" collapsed="false">
      <c r="A249" s="94"/>
      <c r="B249" s="95"/>
      <c r="C249" s="84"/>
      <c r="D249" s="76"/>
      <c r="E249" s="77"/>
      <c r="F249" s="77"/>
      <c r="G249" s="78"/>
      <c r="H249" s="76" t="str">
        <f aca="true">IF(G249="","",IF(G249=1,"Completed",
IF(G249=0,"Not Started",
IF(AND(F249&lt;&gt;"",ISNUMBER(F249),F249&lt;TODAY()),"Delayed","In Progress")
)
)
)</f>
        <v/>
      </c>
      <c r="I249" s="76"/>
      <c r="J249" s="76"/>
      <c r="K249" s="76"/>
      <c r="L249" s="76"/>
      <c r="M249" s="80"/>
      <c r="N249" s="96"/>
    </row>
    <row r="250" customFormat="false" ht="22.5" hidden="false" customHeight="true" outlineLevel="0" collapsed="false">
      <c r="A250" s="94"/>
      <c r="B250" s="95"/>
      <c r="C250" s="84"/>
      <c r="D250" s="76"/>
      <c r="E250" s="77"/>
      <c r="F250" s="77"/>
      <c r="G250" s="78"/>
      <c r="H250" s="76" t="str">
        <f aca="true">IF(G250="","",IF(G250=1,"Completed",
IF(G250=0,"Not Started",
IF(AND(F250&lt;&gt;"",ISNUMBER(F250),F250&lt;TODAY()),"Delayed","In Progress")
)
)
)</f>
        <v/>
      </c>
      <c r="I250" s="76"/>
      <c r="J250" s="76"/>
      <c r="K250" s="76"/>
      <c r="L250" s="76"/>
      <c r="M250" s="80"/>
      <c r="N250" s="96"/>
    </row>
    <row r="251" customFormat="false" ht="22.5" hidden="false" customHeight="true" outlineLevel="0" collapsed="false">
      <c r="A251" s="94"/>
      <c r="B251" s="95"/>
      <c r="C251" s="84"/>
      <c r="D251" s="76"/>
      <c r="E251" s="77"/>
      <c r="F251" s="77"/>
      <c r="G251" s="78"/>
      <c r="H251" s="76" t="str">
        <f aca="true">IF(G251="","",IF(G251=1,"Completed",
IF(G251=0,"Not Started",
IF(AND(F251&lt;&gt;"",ISNUMBER(F251),F251&lt;TODAY()),"Delayed","In Progress")
)
)
)</f>
        <v/>
      </c>
      <c r="I251" s="76"/>
      <c r="J251" s="76"/>
      <c r="K251" s="76"/>
      <c r="L251" s="76"/>
      <c r="M251" s="80"/>
      <c r="N251" s="96"/>
    </row>
    <row r="252" customFormat="false" ht="22.5" hidden="false" customHeight="true" outlineLevel="0" collapsed="false">
      <c r="A252" s="94"/>
      <c r="B252" s="95"/>
      <c r="C252" s="84"/>
      <c r="D252" s="76"/>
      <c r="E252" s="77"/>
      <c r="F252" s="77"/>
      <c r="G252" s="78"/>
      <c r="H252" s="76" t="str">
        <f aca="true">IF(G252="","",IF(G252=1,"Completed",
IF(G252=0,"Not Started",
IF(AND(F252&lt;&gt;"",ISNUMBER(F252),F252&lt;TODAY()),"Delayed","In Progress")
)
)
)</f>
        <v/>
      </c>
      <c r="I252" s="76"/>
      <c r="J252" s="76"/>
      <c r="K252" s="76"/>
      <c r="L252" s="76"/>
      <c r="M252" s="80"/>
      <c r="N252" s="96"/>
    </row>
    <row r="253" customFormat="false" ht="22.5" hidden="false" customHeight="true" outlineLevel="0" collapsed="false">
      <c r="A253" s="94"/>
      <c r="B253" s="95"/>
      <c r="C253" s="84"/>
      <c r="D253" s="76"/>
      <c r="E253" s="77"/>
      <c r="F253" s="77"/>
      <c r="G253" s="78"/>
      <c r="H253" s="76" t="str">
        <f aca="true">IF(G253="","",IF(G253=1,"Completed",
IF(G253=0,"Not Started",
IF(AND(F253&lt;&gt;"",ISNUMBER(F253),F253&lt;TODAY()),"Delayed","In Progress")
)
)
)</f>
        <v/>
      </c>
      <c r="I253" s="76"/>
      <c r="J253" s="76"/>
      <c r="K253" s="76"/>
      <c r="L253" s="76"/>
      <c r="M253" s="80"/>
      <c r="N253" s="96"/>
    </row>
    <row r="254" customFormat="false" ht="22.5" hidden="false" customHeight="true" outlineLevel="0" collapsed="false">
      <c r="A254" s="94"/>
      <c r="B254" s="95"/>
      <c r="C254" s="84"/>
      <c r="D254" s="76"/>
      <c r="E254" s="77"/>
      <c r="F254" s="77"/>
      <c r="G254" s="78"/>
      <c r="H254" s="76" t="str">
        <f aca="true">IF(G254="","",IF(G254=1,"Completed",
IF(G254=0,"Not Started",
IF(AND(F254&lt;&gt;"",ISNUMBER(F254),F254&lt;TODAY()),"Delayed","In Progress")
)
)
)</f>
        <v/>
      </c>
      <c r="I254" s="76"/>
      <c r="J254" s="76"/>
      <c r="K254" s="76"/>
      <c r="L254" s="76"/>
      <c r="M254" s="80"/>
      <c r="N254" s="96"/>
    </row>
    <row r="255" customFormat="false" ht="22.5" hidden="false" customHeight="true" outlineLevel="0" collapsed="false">
      <c r="A255" s="94"/>
      <c r="B255" s="95"/>
      <c r="C255" s="84"/>
      <c r="D255" s="76"/>
      <c r="E255" s="77"/>
      <c r="F255" s="77"/>
      <c r="G255" s="78"/>
      <c r="H255" s="76" t="str">
        <f aca="true">IF(G255="","",IF(G255=1,"Completed",
IF(G255=0,"Not Started",
IF(AND(F255&lt;&gt;"",ISNUMBER(F255),F255&lt;TODAY()),"Delayed","In Progress")
)
)
)</f>
        <v/>
      </c>
      <c r="I255" s="76"/>
      <c r="J255" s="76"/>
      <c r="K255" s="76"/>
      <c r="L255" s="76"/>
      <c r="M255" s="80"/>
      <c r="N255" s="96"/>
    </row>
    <row r="256" customFormat="false" ht="22.5" hidden="false" customHeight="true" outlineLevel="0" collapsed="false">
      <c r="A256" s="94"/>
      <c r="B256" s="95"/>
      <c r="C256" s="84"/>
      <c r="D256" s="76"/>
      <c r="E256" s="77"/>
      <c r="F256" s="77"/>
      <c r="G256" s="78"/>
      <c r="H256" s="76" t="str">
        <f aca="true">IF(G256="","",IF(G256=1,"Completed",
IF(G256=0,"Not Started",
IF(AND(F256&lt;&gt;"",ISNUMBER(F256),F256&lt;TODAY()),"Delayed","In Progress")
)
)
)</f>
        <v/>
      </c>
      <c r="I256" s="76"/>
      <c r="J256" s="76"/>
      <c r="K256" s="76"/>
      <c r="L256" s="76"/>
      <c r="M256" s="80"/>
      <c r="N256" s="96"/>
    </row>
    <row r="257" customFormat="false" ht="22.5" hidden="false" customHeight="true" outlineLevel="0" collapsed="false">
      <c r="A257" s="94"/>
      <c r="B257" s="95"/>
      <c r="C257" s="84"/>
      <c r="D257" s="76"/>
      <c r="E257" s="77"/>
      <c r="F257" s="77"/>
      <c r="G257" s="78"/>
      <c r="H257" s="76" t="str">
        <f aca="true">IF(G257="","",IF(G257=1,"Completed",
IF(G257=0,"Not Started",
IF(AND(F257&lt;&gt;"",ISNUMBER(F257),F257&lt;TODAY()),"Delayed","In Progress")
)
)
)</f>
        <v/>
      </c>
      <c r="I257" s="76"/>
      <c r="J257" s="76"/>
      <c r="K257" s="76"/>
      <c r="L257" s="76"/>
      <c r="M257" s="80"/>
      <c r="N257" s="96"/>
    </row>
    <row r="258" customFormat="false" ht="22.5" hidden="false" customHeight="true" outlineLevel="0" collapsed="false">
      <c r="A258" s="94"/>
      <c r="B258" s="95"/>
      <c r="C258" s="84"/>
      <c r="D258" s="76"/>
      <c r="E258" s="77"/>
      <c r="F258" s="77"/>
      <c r="G258" s="78"/>
      <c r="H258" s="76" t="str">
        <f aca="true">IF(G258="","",IF(G258=1,"Completed",
IF(G258=0,"Not Started",
IF(AND(F258&lt;&gt;"",ISNUMBER(F258),F258&lt;TODAY()),"Delayed","In Progress")
)
)
)</f>
        <v/>
      </c>
      <c r="I258" s="76"/>
      <c r="J258" s="76"/>
      <c r="K258" s="76"/>
      <c r="L258" s="76"/>
      <c r="M258" s="80"/>
      <c r="N258" s="96"/>
    </row>
    <row r="259" customFormat="false" ht="22.5" hidden="false" customHeight="true" outlineLevel="0" collapsed="false">
      <c r="A259" s="94"/>
      <c r="B259" s="95"/>
      <c r="C259" s="84"/>
      <c r="D259" s="76"/>
      <c r="E259" s="77"/>
      <c r="F259" s="77"/>
      <c r="G259" s="78"/>
      <c r="H259" s="76" t="str">
        <f aca="true">IF(G259="","",IF(G259=1,"Completed",
IF(G259=0,"Not Started",
IF(AND(F259&lt;&gt;"",ISNUMBER(F259),F259&lt;TODAY()),"Delayed","In Progress")
)
)
)</f>
        <v/>
      </c>
      <c r="I259" s="76"/>
      <c r="J259" s="76"/>
      <c r="K259" s="76"/>
      <c r="L259" s="76"/>
      <c r="M259" s="80"/>
      <c r="N259" s="96"/>
    </row>
    <row r="260" customFormat="false" ht="22.5" hidden="false" customHeight="true" outlineLevel="0" collapsed="false">
      <c r="A260" s="94"/>
      <c r="B260" s="95"/>
      <c r="C260" s="84"/>
      <c r="D260" s="76"/>
      <c r="E260" s="77"/>
      <c r="F260" s="77"/>
      <c r="G260" s="78"/>
      <c r="H260" s="76" t="str">
        <f aca="true">IF(G260="","",IF(G260=1,"Completed",
IF(G260=0,"Not Started",
IF(AND(F260&lt;&gt;"",ISNUMBER(F260),F260&lt;TODAY()),"Delayed","In Progress")
)
)
)</f>
        <v/>
      </c>
      <c r="I260" s="76"/>
      <c r="J260" s="76"/>
      <c r="K260" s="76"/>
      <c r="L260" s="76"/>
      <c r="M260" s="80"/>
      <c r="N260" s="96"/>
    </row>
    <row r="261" customFormat="false" ht="22.5" hidden="false" customHeight="true" outlineLevel="0" collapsed="false">
      <c r="A261" s="94"/>
      <c r="B261" s="95"/>
      <c r="C261" s="84"/>
      <c r="D261" s="76"/>
      <c r="E261" s="77"/>
      <c r="F261" s="77"/>
      <c r="G261" s="78"/>
      <c r="H261" s="76" t="str">
        <f aca="true">IF(G261="","",IF(G261=1,"Completed",
IF(G261=0,"Not Started",
IF(AND(F261&lt;&gt;"",ISNUMBER(F261),F261&lt;TODAY()),"Delayed","In Progress")
)
)
)</f>
        <v/>
      </c>
      <c r="I261" s="76"/>
      <c r="J261" s="76"/>
      <c r="K261" s="76"/>
      <c r="L261" s="76"/>
      <c r="M261" s="80"/>
      <c r="N261" s="96"/>
    </row>
    <row r="262" customFormat="false" ht="22.5" hidden="false" customHeight="true" outlineLevel="0" collapsed="false">
      <c r="A262" s="94"/>
      <c r="B262" s="95"/>
      <c r="C262" s="84"/>
      <c r="D262" s="76"/>
      <c r="E262" s="77"/>
      <c r="F262" s="77"/>
      <c r="G262" s="78"/>
      <c r="H262" s="76" t="str">
        <f aca="true">IF(G262="","",IF(G262=1,"Completed",
  IF(G262=0,"Not Started",
   IF(AND(F262&lt;&gt;"",ISNUMBER(F262),F262&lt;TODAY()),"Delayed","In Progress")
  )
 )
)</f>
        <v/>
      </c>
      <c r="I262" s="76"/>
      <c r="J262" s="76"/>
      <c r="K262" s="76"/>
      <c r="L262" s="76"/>
      <c r="M262" s="80"/>
      <c r="N262" s="96"/>
    </row>
    <row r="263" customFormat="false" ht="22.5" hidden="false" customHeight="true" outlineLevel="0" collapsed="false">
      <c r="A263" s="94"/>
      <c r="B263" s="95"/>
      <c r="C263" s="84"/>
      <c r="D263" s="76"/>
      <c r="E263" s="77"/>
      <c r="F263" s="77"/>
      <c r="G263" s="78"/>
      <c r="H263" s="76" t="str">
        <f aca="true">IF(G263="","",IF(G263=1,"Completed",
IF(G263=0,"Not Started",
IF(AND(F263&lt;&gt;"",ISNUMBER(F263),F263&lt;TODAY()),"Delayed","In Progress")
)
)
)</f>
        <v/>
      </c>
      <c r="I263" s="76"/>
      <c r="J263" s="76"/>
      <c r="K263" s="76"/>
      <c r="L263" s="76"/>
      <c r="M263" s="80"/>
      <c r="N263" s="96"/>
    </row>
    <row r="264" customFormat="false" ht="22.5" hidden="false" customHeight="true" outlineLevel="0" collapsed="false">
      <c r="A264" s="94"/>
      <c r="B264" s="95"/>
      <c r="C264" s="84"/>
      <c r="D264" s="76"/>
      <c r="E264" s="77"/>
      <c r="F264" s="77"/>
      <c r="G264" s="78"/>
      <c r="H264" s="76" t="str">
        <f aca="true">IF(G264="","",IF(G264=1,"Completed",
IF(G264=0,"Not Started",
IF(AND(F264&lt;&gt;"",ISNUMBER(F264),F264&lt;TODAY()),"Delayed","In Progress")
)
)
)</f>
        <v/>
      </c>
      <c r="I264" s="76"/>
      <c r="J264" s="76"/>
      <c r="K264" s="76"/>
      <c r="L264" s="76"/>
      <c r="M264" s="80"/>
      <c r="N264" s="96"/>
    </row>
    <row r="265" customFormat="false" ht="22.5" hidden="false" customHeight="true" outlineLevel="0" collapsed="false">
      <c r="A265" s="94"/>
      <c r="B265" s="95"/>
      <c r="C265" s="84"/>
      <c r="D265" s="76"/>
      <c r="E265" s="77"/>
      <c r="F265" s="77"/>
      <c r="G265" s="78"/>
      <c r="H265" s="76" t="str">
        <f aca="true">IF(G265="","",IF(G265=1,"Completed",
IF(G265=0,"Not Started",
IF(AND(F265&lt;&gt;"",ISNUMBER(F265),F265&lt;TODAY()),"Delayed","In Progress")
)
)
)</f>
        <v/>
      </c>
      <c r="I265" s="76"/>
      <c r="J265" s="76"/>
      <c r="K265" s="76"/>
      <c r="L265" s="76"/>
      <c r="M265" s="80"/>
      <c r="N265" s="96"/>
    </row>
    <row r="266" customFormat="false" ht="22.5" hidden="false" customHeight="true" outlineLevel="0" collapsed="false">
      <c r="A266" s="94"/>
      <c r="B266" s="95"/>
      <c r="C266" s="84"/>
      <c r="D266" s="76"/>
      <c r="E266" s="77"/>
      <c r="F266" s="77"/>
      <c r="G266" s="78"/>
      <c r="H266" s="76" t="str">
        <f aca="true">IF(G266="","",IF(G266=1,"Completed",
IF(G266=0,"Not Started",
IF(AND(F266&lt;&gt;"",ISNUMBER(F266),F266&lt;TODAY()),"Delayed","In Progress")
)
)
)</f>
        <v/>
      </c>
      <c r="I266" s="76"/>
      <c r="J266" s="76"/>
      <c r="K266" s="76"/>
      <c r="L266" s="76"/>
      <c r="M266" s="80"/>
      <c r="N266" s="96"/>
    </row>
    <row r="267" customFormat="false" ht="22.5" hidden="false" customHeight="true" outlineLevel="0" collapsed="false">
      <c r="A267" s="94"/>
      <c r="B267" s="95"/>
      <c r="C267" s="84"/>
      <c r="D267" s="76"/>
      <c r="E267" s="77"/>
      <c r="F267" s="77"/>
      <c r="G267" s="78"/>
      <c r="H267" s="76" t="str">
        <f aca="true">IF(G267="","",IF(G267=1,"Completed",
IF(G267=0,"Not Started",
IF(AND(F267&lt;&gt;"",ISNUMBER(F267),F267&lt;TODAY()),"Delayed","In Progress")
)
)
)</f>
        <v/>
      </c>
      <c r="I267" s="76"/>
      <c r="J267" s="76"/>
      <c r="K267" s="76"/>
      <c r="L267" s="76"/>
      <c r="M267" s="80"/>
      <c r="N267" s="96"/>
    </row>
    <row r="268" customFormat="false" ht="22.5" hidden="false" customHeight="true" outlineLevel="0" collapsed="false">
      <c r="A268" s="94"/>
      <c r="B268" s="95"/>
      <c r="C268" s="84"/>
      <c r="D268" s="76"/>
      <c r="E268" s="77"/>
      <c r="F268" s="77"/>
      <c r="G268" s="78"/>
      <c r="H268" s="76" t="str">
        <f aca="true">IF(G268="","",IF(G268=1,"Completed",
IF(G268=0,"Not Started",
IF(AND(F268&lt;&gt;"",ISNUMBER(F268),F268&lt;TODAY()),"Delayed","In Progress")
)
)
)</f>
        <v/>
      </c>
      <c r="I268" s="76"/>
      <c r="J268" s="76"/>
      <c r="K268" s="76"/>
      <c r="L268" s="76"/>
      <c r="M268" s="80"/>
      <c r="N268" s="96"/>
    </row>
    <row r="269" customFormat="false" ht="22.5" hidden="false" customHeight="true" outlineLevel="0" collapsed="false">
      <c r="A269" s="94"/>
      <c r="B269" s="95"/>
      <c r="C269" s="84"/>
      <c r="D269" s="76"/>
      <c r="E269" s="77"/>
      <c r="F269" s="77"/>
      <c r="G269" s="78"/>
      <c r="H269" s="76" t="str">
        <f aca="true">IF(G269="","",IF(G269=1,"Completed",
IF(G269=0,"Not Started",
IF(AND(F269&lt;&gt;"",ISNUMBER(F269),F269&lt;TODAY()),"Delayed","In Progress")
)
)
)</f>
        <v/>
      </c>
      <c r="I269" s="76"/>
      <c r="J269" s="76"/>
      <c r="K269" s="76"/>
      <c r="L269" s="76"/>
      <c r="M269" s="80"/>
      <c r="N269" s="96"/>
    </row>
    <row r="270" customFormat="false" ht="22.5" hidden="false" customHeight="true" outlineLevel="0" collapsed="false">
      <c r="A270" s="94"/>
      <c r="B270" s="95"/>
      <c r="C270" s="84"/>
      <c r="D270" s="76"/>
      <c r="E270" s="77"/>
      <c r="F270" s="77"/>
      <c r="G270" s="78"/>
      <c r="H270" s="76" t="str">
        <f aca="true">IF(G270="","",IF(G270=1,"Completed",
IF(G270=0,"Not Started",
IF(AND(F270&lt;&gt;"",ISNUMBER(F270),F270&lt;TODAY()),"Delayed","In Progress")
)
)
)</f>
        <v/>
      </c>
      <c r="I270" s="76"/>
      <c r="J270" s="76"/>
      <c r="K270" s="76"/>
      <c r="L270" s="76"/>
      <c r="M270" s="80"/>
      <c r="N270" s="96"/>
    </row>
    <row r="271" customFormat="false" ht="22.5" hidden="false" customHeight="true" outlineLevel="0" collapsed="false">
      <c r="A271" s="94"/>
      <c r="B271" s="95"/>
      <c r="C271" s="84"/>
      <c r="D271" s="76"/>
      <c r="E271" s="77"/>
      <c r="F271" s="77"/>
      <c r="G271" s="78"/>
      <c r="H271" s="76" t="str">
        <f aca="true">IF(G271="","",IF(G271=1,"Completed",
IF(G271=0,"Not Started",
IF(AND(F271&lt;&gt;"",ISNUMBER(F271),F271&lt;TODAY()),"Delayed","In Progress")
)
)
)</f>
        <v/>
      </c>
      <c r="I271" s="76"/>
      <c r="J271" s="76"/>
      <c r="K271" s="76"/>
      <c r="L271" s="76"/>
      <c r="M271" s="80"/>
      <c r="N271" s="96"/>
    </row>
    <row r="272" customFormat="false" ht="22.5" hidden="false" customHeight="true" outlineLevel="0" collapsed="false">
      <c r="A272" s="94"/>
      <c r="B272" s="95"/>
      <c r="C272" s="84"/>
      <c r="D272" s="76"/>
      <c r="E272" s="77"/>
      <c r="F272" s="77"/>
      <c r="G272" s="78"/>
      <c r="H272" s="76" t="str">
        <f aca="true">IF(G272="","",IF(G272=1,"Completed",
IF(G272=0,"Not Started",
IF(AND(F272&lt;&gt;"",ISNUMBER(F272),F272&lt;TODAY()),"Delayed","In Progress")
)
)
)</f>
        <v/>
      </c>
      <c r="I272" s="76"/>
      <c r="J272" s="76"/>
      <c r="K272" s="76"/>
      <c r="L272" s="76"/>
      <c r="M272" s="80"/>
      <c r="N272" s="96"/>
    </row>
    <row r="273" customFormat="false" ht="22.5" hidden="false" customHeight="true" outlineLevel="0" collapsed="false">
      <c r="A273" s="94"/>
      <c r="B273" s="95"/>
      <c r="C273" s="84"/>
      <c r="D273" s="76"/>
      <c r="E273" s="77"/>
      <c r="F273" s="77"/>
      <c r="G273" s="78"/>
      <c r="H273" s="76" t="str">
        <f aca="true">IF(G273="","",IF(G273=1,"Completed",
IF(G273=0,"Not Started",
IF(AND(F273&lt;&gt;"",ISNUMBER(F273),F273&lt;TODAY()),"Delayed","In Progress")
)
)
)</f>
        <v/>
      </c>
      <c r="I273" s="76"/>
      <c r="J273" s="76"/>
      <c r="K273" s="76"/>
      <c r="L273" s="76"/>
      <c r="M273" s="80"/>
      <c r="N273" s="96"/>
    </row>
    <row r="274" customFormat="false" ht="22.5" hidden="false" customHeight="true" outlineLevel="0" collapsed="false">
      <c r="A274" s="94"/>
      <c r="B274" s="95"/>
      <c r="C274" s="84"/>
      <c r="D274" s="76"/>
      <c r="E274" s="77"/>
      <c r="F274" s="77"/>
      <c r="G274" s="78"/>
      <c r="H274" s="76" t="str">
        <f aca="true">IF(G274="","",IF(G274=1,"Completed",
IF(G274=0,"Not Started",
IF(AND(F274&lt;&gt;"",ISNUMBER(F274),F274&lt;TODAY()),"Delayed","In Progress")
)
)
)</f>
        <v/>
      </c>
      <c r="I274" s="76"/>
      <c r="J274" s="76"/>
      <c r="K274" s="76"/>
      <c r="L274" s="76"/>
      <c r="M274" s="80"/>
      <c r="N274" s="96"/>
    </row>
    <row r="275" customFormat="false" ht="22.5" hidden="false" customHeight="true" outlineLevel="0" collapsed="false">
      <c r="A275" s="94"/>
      <c r="B275" s="95"/>
      <c r="C275" s="84"/>
      <c r="D275" s="76"/>
      <c r="E275" s="77"/>
      <c r="F275" s="77"/>
      <c r="G275" s="78"/>
      <c r="H275" s="76" t="str">
        <f aca="true">IF(G275="","",IF(G275=1,"Completed",
IF(G275=0,"Not Started",
IF(AND(F275&lt;&gt;"",ISNUMBER(F275),F275&lt;TODAY()),"Delayed","In Progress")
)
)
)</f>
        <v/>
      </c>
      <c r="I275" s="76"/>
      <c r="J275" s="76"/>
      <c r="K275" s="76"/>
      <c r="L275" s="76"/>
      <c r="M275" s="80"/>
      <c r="N275" s="96"/>
    </row>
    <row r="276" customFormat="false" ht="22.5" hidden="false" customHeight="true" outlineLevel="0" collapsed="false">
      <c r="A276" s="94"/>
      <c r="B276" s="95"/>
      <c r="C276" s="84"/>
      <c r="D276" s="76"/>
      <c r="E276" s="77"/>
      <c r="F276" s="77"/>
      <c r="G276" s="78"/>
      <c r="H276" s="76" t="str">
        <f aca="true">IF(G276="","",IF(G276=1,"Completed",
IF(G276=0,"Not Started",
IF(AND(F276&lt;&gt;"",ISNUMBER(F276),F276&lt;TODAY()),"Delayed","In Progress")
)
)
)</f>
        <v/>
      </c>
      <c r="I276" s="76"/>
      <c r="J276" s="76"/>
      <c r="K276" s="76"/>
      <c r="L276" s="76"/>
      <c r="M276" s="80"/>
      <c r="N276" s="96"/>
    </row>
    <row r="277" customFormat="false" ht="22.5" hidden="false" customHeight="true" outlineLevel="0" collapsed="false">
      <c r="A277" s="94"/>
      <c r="B277" s="95"/>
      <c r="C277" s="84"/>
      <c r="D277" s="76"/>
      <c r="E277" s="77"/>
      <c r="F277" s="77"/>
      <c r="G277" s="78"/>
      <c r="H277" s="76" t="str">
        <f aca="true">IF(G277="","",IF(G277=1,"Completed",
IF(G277=0,"Not Started",
IF(AND(F277&lt;&gt;"",ISNUMBER(F277),F277&lt;TODAY()),"Delayed","In Progress")
)
)
)</f>
        <v/>
      </c>
      <c r="I277" s="76"/>
      <c r="J277" s="76"/>
      <c r="K277" s="76"/>
      <c r="L277" s="76"/>
      <c r="M277" s="80"/>
      <c r="N277" s="96"/>
    </row>
    <row r="278" customFormat="false" ht="22.5" hidden="false" customHeight="true" outlineLevel="0" collapsed="false">
      <c r="A278" s="94"/>
      <c r="B278" s="95"/>
      <c r="C278" s="84"/>
      <c r="D278" s="76"/>
      <c r="E278" s="77"/>
      <c r="F278" s="77"/>
      <c r="G278" s="78"/>
      <c r="H278" s="76" t="str">
        <f aca="true">IF(G278="","",IF(G278=1,"Completed",
IF(G278=0,"Not Started",
IF(AND(F278&lt;&gt;"",ISNUMBER(F278),F278&lt;TODAY()),"Delayed","In Progress")
)
)
)</f>
        <v/>
      </c>
      <c r="I278" s="76"/>
      <c r="J278" s="76"/>
      <c r="K278" s="76"/>
      <c r="L278" s="76"/>
      <c r="M278" s="80"/>
      <c r="N278" s="96"/>
    </row>
    <row r="279" customFormat="false" ht="22.5" hidden="false" customHeight="true" outlineLevel="0" collapsed="false">
      <c r="A279" s="94"/>
      <c r="B279" s="95"/>
      <c r="C279" s="84"/>
      <c r="D279" s="76"/>
      <c r="E279" s="77"/>
      <c r="F279" s="77"/>
      <c r="G279" s="78"/>
      <c r="H279" s="76" t="str">
        <f aca="true">IF(G279="","",IF(G279=1,"Completed",
IF(G279=0,"Not Started",
IF(AND(F279&lt;&gt;"",ISNUMBER(F279),F279&lt;TODAY()),"Delayed","In Progress")
)
)
)</f>
        <v/>
      </c>
      <c r="I279" s="76"/>
      <c r="J279" s="76"/>
      <c r="K279" s="76"/>
      <c r="L279" s="76"/>
      <c r="M279" s="80"/>
      <c r="N279" s="96"/>
    </row>
    <row r="280" customFormat="false" ht="22.5" hidden="false" customHeight="true" outlineLevel="0" collapsed="false">
      <c r="A280" s="94"/>
      <c r="B280" s="95"/>
      <c r="C280" s="84"/>
      <c r="D280" s="76"/>
      <c r="E280" s="77"/>
      <c r="F280" s="77"/>
      <c r="G280" s="78"/>
      <c r="H280" s="76" t="str">
        <f aca="true">IF(G280="","",IF(G280=1,"Completed",
IF(G280=0,"Not Started",
IF(AND(F280&lt;&gt;"",ISNUMBER(F280),F280&lt;TODAY()),"Delayed","In Progress")
)
)
)</f>
        <v/>
      </c>
      <c r="I280" s="76"/>
      <c r="J280" s="76"/>
      <c r="K280" s="76"/>
      <c r="L280" s="76"/>
      <c r="M280" s="80"/>
      <c r="N280" s="96"/>
    </row>
    <row r="281" customFormat="false" ht="22.5" hidden="false" customHeight="true" outlineLevel="0" collapsed="false">
      <c r="A281" s="94"/>
      <c r="B281" s="95"/>
      <c r="C281" s="84"/>
      <c r="D281" s="76"/>
      <c r="E281" s="77"/>
      <c r="F281" s="77"/>
      <c r="G281" s="78"/>
      <c r="H281" s="76" t="str">
        <f aca="true">IF(G281="","",IF(G281=1,"Completed",
IF(G281=0,"Not Started",
IF(AND(F281&lt;&gt;"",ISNUMBER(F281),F281&lt;TODAY()),"Delayed","In Progress")
)
)
)</f>
        <v/>
      </c>
      <c r="I281" s="76"/>
      <c r="J281" s="76"/>
      <c r="K281" s="76"/>
      <c r="L281" s="76"/>
      <c r="M281" s="80"/>
      <c r="N281" s="96"/>
    </row>
    <row r="282" customFormat="false" ht="22.5" hidden="false" customHeight="true" outlineLevel="0" collapsed="false">
      <c r="A282" s="94"/>
      <c r="B282" s="95"/>
      <c r="C282" s="84"/>
      <c r="D282" s="76"/>
      <c r="E282" s="77"/>
      <c r="F282" s="77"/>
      <c r="G282" s="78"/>
      <c r="H282" s="76" t="str">
        <f aca="true">IF(G282="","",IF(G282=1,"Completed",
IF(G282=0,"Not Started",
IF(AND(F282&lt;&gt;"",ISNUMBER(F282),F282&lt;TODAY()),"Delayed","In Progress")
)
)
)</f>
        <v/>
      </c>
      <c r="I282" s="76"/>
      <c r="J282" s="76"/>
      <c r="K282" s="76"/>
      <c r="L282" s="76"/>
      <c r="M282" s="80"/>
      <c r="N282" s="96"/>
    </row>
    <row r="283" customFormat="false" ht="22.5" hidden="false" customHeight="true" outlineLevel="0" collapsed="false">
      <c r="A283" s="94"/>
      <c r="B283" s="95"/>
      <c r="C283" s="84"/>
      <c r="D283" s="76"/>
      <c r="E283" s="77"/>
      <c r="F283" s="77"/>
      <c r="G283" s="78"/>
      <c r="H283" s="76" t="str">
        <f aca="true">IF(G283="","",IF(G283=1,"Completed",
IF(G283=0,"Not Started",
IF(AND(F283&lt;&gt;"",ISNUMBER(F283),F283&lt;TODAY()),"Delayed","In Progress")
)
)
)</f>
        <v/>
      </c>
      <c r="I283" s="76"/>
      <c r="J283" s="76"/>
      <c r="K283" s="76"/>
      <c r="L283" s="76"/>
      <c r="M283" s="80"/>
      <c r="N283" s="96"/>
    </row>
    <row r="284" customFormat="false" ht="22.5" hidden="false" customHeight="true" outlineLevel="0" collapsed="false">
      <c r="A284" s="94"/>
      <c r="B284" s="95"/>
      <c r="C284" s="84"/>
      <c r="D284" s="76"/>
      <c r="E284" s="77"/>
      <c r="F284" s="77"/>
      <c r="G284" s="78"/>
      <c r="H284" s="76" t="str">
        <f aca="true">IF(G284="","",IF(G284=1,"Completed",
IF(G284=0,"Not Started",
IF(AND(F284&lt;&gt;"",ISNUMBER(F284),F284&lt;TODAY()),"Delayed","In Progress")
)
)
)</f>
        <v/>
      </c>
      <c r="I284" s="76"/>
      <c r="J284" s="76"/>
      <c r="K284" s="76"/>
      <c r="L284" s="76"/>
      <c r="M284" s="80"/>
      <c r="N284" s="96"/>
    </row>
    <row r="285" customFormat="false" ht="22.5" hidden="false" customHeight="true" outlineLevel="0" collapsed="false">
      <c r="A285" s="94"/>
      <c r="B285" s="95"/>
      <c r="C285" s="84"/>
      <c r="D285" s="76"/>
      <c r="E285" s="77"/>
      <c r="F285" s="77"/>
      <c r="G285" s="78"/>
      <c r="H285" s="76" t="str">
        <f aca="true">IF(G285="","",IF(G285=1,"Completed",
IF(G285=0,"Not Started",
IF(AND(F285&lt;&gt;"",ISNUMBER(F285),F285&lt;TODAY()),"Delayed","In Progress")
)
)
)</f>
        <v/>
      </c>
      <c r="I285" s="76"/>
      <c r="J285" s="76"/>
      <c r="K285" s="76"/>
      <c r="L285" s="76"/>
      <c r="M285" s="80"/>
      <c r="N285" s="96"/>
    </row>
    <row r="286" customFormat="false" ht="22.5" hidden="false" customHeight="true" outlineLevel="0" collapsed="false">
      <c r="A286" s="94"/>
      <c r="B286" s="95"/>
      <c r="C286" s="84"/>
      <c r="D286" s="76"/>
      <c r="E286" s="77"/>
      <c r="F286" s="77"/>
      <c r="G286" s="78"/>
      <c r="H286" s="76" t="str">
        <f aca="true">IF(G286="","",IF(G286=1,"Completed",
IF(G286=0,"Not Started",
IF(AND(F286&lt;&gt;"",ISNUMBER(F286),F286&lt;TODAY()),"Delayed","In Progress")
)
)
)</f>
        <v/>
      </c>
      <c r="I286" s="76"/>
      <c r="J286" s="76"/>
      <c r="K286" s="76"/>
      <c r="L286" s="76"/>
      <c r="M286" s="80"/>
      <c r="N286" s="96"/>
    </row>
    <row r="287" customFormat="false" ht="22.5" hidden="false" customHeight="true" outlineLevel="0" collapsed="false">
      <c r="A287" s="94"/>
      <c r="B287" s="95"/>
      <c r="C287" s="84"/>
      <c r="D287" s="76"/>
      <c r="E287" s="77"/>
      <c r="F287" s="77"/>
      <c r="G287" s="78"/>
      <c r="H287" s="76" t="str">
        <f aca="true">IF(G287="","",IF(G287=1,"Completed",
IF(G287=0,"Not Started",
IF(AND(F287&lt;&gt;"",ISNUMBER(F287),F287&lt;TODAY()),"Delayed","In Progress")
)
)
)</f>
        <v/>
      </c>
      <c r="I287" s="76"/>
      <c r="J287" s="76"/>
      <c r="K287" s="76"/>
      <c r="L287" s="76"/>
      <c r="M287" s="80"/>
      <c r="N287" s="96"/>
    </row>
    <row r="288" customFormat="false" ht="22.5" hidden="false" customHeight="true" outlineLevel="0" collapsed="false">
      <c r="A288" s="94"/>
      <c r="B288" s="95"/>
      <c r="C288" s="84"/>
      <c r="D288" s="76"/>
      <c r="E288" s="77"/>
      <c r="F288" s="77"/>
      <c r="G288" s="78"/>
      <c r="H288" s="76" t="str">
        <f aca="true">IF(G288="","",IF(G288=1,"Completed",
IF(G288=0,"Not Started",
IF(AND(F288&lt;&gt;"",ISNUMBER(F288),F288&lt;TODAY()),"Delayed","In Progress")
)
)
)</f>
        <v/>
      </c>
      <c r="I288" s="76"/>
      <c r="J288" s="76"/>
      <c r="K288" s="76"/>
      <c r="L288" s="76"/>
      <c r="M288" s="80"/>
      <c r="N288" s="96"/>
    </row>
    <row r="289" customFormat="false" ht="22.5" hidden="false" customHeight="true" outlineLevel="0" collapsed="false">
      <c r="A289" s="94"/>
      <c r="B289" s="95"/>
      <c r="C289" s="84"/>
      <c r="D289" s="76"/>
      <c r="E289" s="77"/>
      <c r="F289" s="77"/>
      <c r="G289" s="78"/>
      <c r="H289" s="76" t="str">
        <f aca="true">IF(G289="","",IF(G289=1,"Completed",
IF(G289=0,"Not Started",
IF(AND(F289&lt;&gt;"",ISNUMBER(F289),F289&lt;TODAY()),"Delayed","In Progress")
)
)
)</f>
        <v/>
      </c>
      <c r="I289" s="76"/>
      <c r="J289" s="76"/>
      <c r="K289" s="76"/>
      <c r="L289" s="76"/>
      <c r="M289" s="80"/>
      <c r="N289" s="96"/>
    </row>
    <row r="290" customFormat="false" ht="22.5" hidden="false" customHeight="true" outlineLevel="0" collapsed="false">
      <c r="A290" s="94"/>
      <c r="B290" s="95"/>
      <c r="C290" s="84"/>
      <c r="D290" s="76"/>
      <c r="E290" s="77"/>
      <c r="F290" s="77"/>
      <c r="G290" s="78"/>
      <c r="H290" s="76" t="str">
        <f aca="true">IF(G290="","",IF(G290=1,"Completed",
IF(G290=0,"Not Started",
IF(AND(F290&lt;&gt;"",ISNUMBER(F290),F290&lt;TODAY()),"Delayed","In Progress")
)
)
)</f>
        <v/>
      </c>
      <c r="I290" s="76"/>
      <c r="J290" s="76"/>
      <c r="K290" s="76"/>
      <c r="L290" s="76"/>
      <c r="M290" s="80"/>
      <c r="N290" s="96"/>
    </row>
    <row r="291" customFormat="false" ht="22.5" hidden="false" customHeight="true" outlineLevel="0" collapsed="false">
      <c r="A291" s="94"/>
      <c r="B291" s="95"/>
      <c r="C291" s="84"/>
      <c r="D291" s="76"/>
      <c r="E291" s="77"/>
      <c r="F291" s="77"/>
      <c r="G291" s="78"/>
      <c r="H291" s="76" t="str">
        <f aca="true">IF(G291="","",IF(G291=1,"Completed",
IF(G291=0,"Not Started",
IF(AND(F291&lt;&gt;"",ISNUMBER(F291),F291&lt;TODAY()),"Delayed","In Progress")
)
)
)</f>
        <v/>
      </c>
      <c r="I291" s="76"/>
      <c r="J291" s="76"/>
      <c r="K291" s="76"/>
      <c r="L291" s="76"/>
      <c r="M291" s="80"/>
      <c r="N291" s="96"/>
    </row>
    <row r="292" customFormat="false" ht="22.5" hidden="false" customHeight="true" outlineLevel="0" collapsed="false">
      <c r="A292" s="94"/>
      <c r="B292" s="95"/>
      <c r="C292" s="84"/>
      <c r="D292" s="76"/>
      <c r="E292" s="77"/>
      <c r="F292" s="77"/>
      <c r="G292" s="78"/>
      <c r="H292" s="76" t="str">
        <f aca="true">IF(G292="","",IF(G292=1,"Completed",
IF(G292=0,"Not Started",
IF(AND(F292&lt;&gt;"",ISNUMBER(F292),F292&lt;TODAY()),"Delayed","In Progress")
)
)
)</f>
        <v/>
      </c>
      <c r="I292" s="76"/>
      <c r="J292" s="76"/>
      <c r="K292" s="76"/>
      <c r="L292" s="76"/>
      <c r="M292" s="80"/>
      <c r="N292" s="96"/>
    </row>
    <row r="293" customFormat="false" ht="22.5" hidden="false" customHeight="true" outlineLevel="0" collapsed="false">
      <c r="A293" s="94"/>
      <c r="B293" s="95"/>
      <c r="C293" s="84"/>
      <c r="D293" s="76"/>
      <c r="E293" s="77"/>
      <c r="F293" s="77"/>
      <c r="G293" s="78"/>
      <c r="H293" s="76" t="str">
        <f aca="true">IF(G293="","",IF(G293=1,"Completed",
IF(G293=0,"Not Started",
IF(AND(F293&lt;&gt;"",ISNUMBER(F293),F293&lt;TODAY()),"Delayed","In Progress")
)
)
)</f>
        <v/>
      </c>
      <c r="I293" s="76"/>
      <c r="J293" s="76"/>
      <c r="K293" s="76"/>
      <c r="L293" s="76"/>
      <c r="M293" s="80"/>
      <c r="N293" s="96"/>
    </row>
    <row r="294" customFormat="false" ht="22.5" hidden="false" customHeight="true" outlineLevel="0" collapsed="false">
      <c r="A294" s="94"/>
      <c r="B294" s="95"/>
      <c r="C294" s="84"/>
      <c r="D294" s="76"/>
      <c r="E294" s="77"/>
      <c r="F294" s="77"/>
      <c r="G294" s="78"/>
      <c r="H294" s="76" t="str">
        <f aca="true">IF(G294="","",IF(G294=1,"Completed",
IF(G294=0,"Not Started",
IF(AND(F294&lt;&gt;"",ISNUMBER(F294),F294&lt;TODAY()),"Delayed","In Progress")
)
)
)</f>
        <v/>
      </c>
      <c r="I294" s="76"/>
      <c r="J294" s="76"/>
      <c r="K294" s="76"/>
      <c r="L294" s="76"/>
      <c r="M294" s="80"/>
      <c r="N294" s="96"/>
    </row>
    <row r="295" customFormat="false" ht="22.5" hidden="false" customHeight="true" outlineLevel="0" collapsed="false">
      <c r="A295" s="94"/>
      <c r="B295" s="95"/>
      <c r="C295" s="84"/>
      <c r="D295" s="76"/>
      <c r="E295" s="77"/>
      <c r="F295" s="77"/>
      <c r="G295" s="78"/>
      <c r="H295" s="76" t="str">
        <f aca="true">IF(G295="","",IF(G295=1,"Completed",
IF(G295=0,"Not Started",
IF(AND(F295&lt;&gt;"",ISNUMBER(F295),F295&lt;TODAY()),"Delayed","In Progress")
)
)
)</f>
        <v/>
      </c>
      <c r="I295" s="76"/>
      <c r="J295" s="76"/>
      <c r="K295" s="76"/>
      <c r="L295" s="76"/>
      <c r="M295" s="80"/>
      <c r="N295" s="96"/>
    </row>
    <row r="296" customFormat="false" ht="22.5" hidden="false" customHeight="true" outlineLevel="0" collapsed="false">
      <c r="A296" s="94"/>
      <c r="B296" s="95"/>
      <c r="C296" s="84"/>
      <c r="D296" s="76"/>
      <c r="E296" s="77"/>
      <c r="F296" s="77"/>
      <c r="G296" s="78"/>
      <c r="H296" s="76" t="str">
        <f aca="true">IF(G296="","",IF(G296=1,"Completed",
IF(G296=0,"Not Started",
IF(AND(F296&lt;&gt;"",ISNUMBER(F296),F296&lt;TODAY()),"Delayed","In Progress")
)
)
)</f>
        <v/>
      </c>
      <c r="I296" s="76"/>
      <c r="J296" s="76"/>
      <c r="K296" s="76"/>
      <c r="L296" s="76"/>
      <c r="M296" s="80"/>
      <c r="N296" s="96"/>
    </row>
    <row r="297" customFormat="false" ht="22.5" hidden="false" customHeight="true" outlineLevel="0" collapsed="false">
      <c r="A297" s="94"/>
      <c r="B297" s="95"/>
      <c r="C297" s="84"/>
      <c r="D297" s="76"/>
      <c r="E297" s="77"/>
      <c r="F297" s="77"/>
      <c r="G297" s="78"/>
      <c r="H297" s="76" t="str">
        <f aca="true">IF(G297="","",IF(G297=1,"Completed",
IF(G297=0,"Not Started",
IF(AND(F297&lt;&gt;"",ISNUMBER(F297),F297&lt;TODAY()),"Delayed","In Progress")
)
)
)</f>
        <v/>
      </c>
      <c r="I297" s="76"/>
      <c r="J297" s="76"/>
      <c r="K297" s="76"/>
      <c r="L297" s="76"/>
      <c r="M297" s="80"/>
      <c r="N297" s="96"/>
    </row>
    <row r="298" customFormat="false" ht="22.5" hidden="false" customHeight="true" outlineLevel="0" collapsed="false">
      <c r="A298" s="94"/>
      <c r="B298" s="95"/>
      <c r="C298" s="84"/>
      <c r="D298" s="76"/>
      <c r="E298" s="77"/>
      <c r="F298" s="77"/>
      <c r="G298" s="78"/>
      <c r="H298" s="76" t="str">
        <f aca="true">IF(G298="","",IF(G298=1,"Completed",
IF(G298=0,"Not Started",
IF(AND(F298&lt;&gt;"",ISNUMBER(F298),F298&lt;TODAY()),"Delayed","In Progress")
)
)
)</f>
        <v/>
      </c>
      <c r="I298" s="76"/>
      <c r="J298" s="76"/>
      <c r="K298" s="76"/>
      <c r="L298" s="76"/>
      <c r="M298" s="80"/>
      <c r="N298" s="96"/>
    </row>
    <row r="299" customFormat="false" ht="22.5" hidden="false" customHeight="true" outlineLevel="0" collapsed="false">
      <c r="A299" s="94"/>
      <c r="B299" s="95"/>
      <c r="C299" s="84"/>
      <c r="D299" s="76"/>
      <c r="E299" s="77"/>
      <c r="F299" s="77"/>
      <c r="G299" s="78"/>
      <c r="H299" s="76" t="str">
        <f aca="true">IF(G299="","",IF(G299=1,"Completed",
IF(G299=0,"Not Started",
IF(AND(F299&lt;&gt;"",ISNUMBER(F299),F299&lt;TODAY()),"Delayed","In Progress")
)
)
)</f>
        <v/>
      </c>
      <c r="I299" s="76"/>
      <c r="J299" s="76"/>
      <c r="K299" s="76"/>
      <c r="L299" s="76"/>
      <c r="M299" s="80"/>
      <c r="N299" s="96"/>
    </row>
    <row r="300" customFormat="false" ht="22.5" hidden="false" customHeight="true" outlineLevel="0" collapsed="false">
      <c r="A300" s="94"/>
      <c r="B300" s="95"/>
      <c r="C300" s="84"/>
      <c r="D300" s="76"/>
      <c r="E300" s="77"/>
      <c r="F300" s="77"/>
      <c r="G300" s="78"/>
      <c r="H300" s="76" t="str">
        <f aca="true">IF(G300="","",IF(G300=1,"Completed",
IF(G300=0,"Not Started",
IF(AND(F300&lt;&gt;"",ISNUMBER(F300),F300&lt;TODAY()),"Delayed","In Progress")
)
)
)</f>
        <v/>
      </c>
      <c r="I300" s="76"/>
      <c r="J300" s="76"/>
      <c r="K300" s="76"/>
      <c r="L300" s="76"/>
      <c r="M300" s="80"/>
      <c r="N300" s="96"/>
    </row>
    <row r="301" customFormat="false" ht="22.5" hidden="false" customHeight="true" outlineLevel="0" collapsed="false">
      <c r="A301" s="94"/>
      <c r="B301" s="95"/>
      <c r="C301" s="84"/>
      <c r="D301" s="76"/>
      <c r="E301" s="77"/>
      <c r="F301" s="77"/>
      <c r="G301" s="78"/>
      <c r="H301" s="76" t="str">
        <f aca="true">IF(G301="","",IF(G301=1,"Completed",
IF(G301=0,"Not Started",
IF(AND(F301&lt;&gt;"",ISNUMBER(F301),F301&lt;TODAY()),"Delayed","In Progress")
)
)
)</f>
        <v/>
      </c>
      <c r="I301" s="76"/>
      <c r="J301" s="76"/>
      <c r="K301" s="76"/>
      <c r="L301" s="76"/>
      <c r="M301" s="80"/>
      <c r="N301" s="96"/>
    </row>
    <row r="302" customFormat="false" ht="22.5" hidden="false" customHeight="true" outlineLevel="0" collapsed="false">
      <c r="A302" s="94"/>
      <c r="B302" s="95"/>
      <c r="C302" s="84"/>
      <c r="D302" s="76"/>
      <c r="E302" s="77"/>
      <c r="F302" s="77"/>
      <c r="G302" s="78"/>
      <c r="H302" s="76" t="str">
        <f aca="true">IF(G302="","",IF(G302=1,"Completed",
IF(G302=0,"Not Started",
IF(AND(F302&lt;&gt;"",ISNUMBER(F302),F302&lt;TODAY()),"Delayed","In Progress")
)
)
)</f>
        <v/>
      </c>
      <c r="I302" s="76"/>
      <c r="J302" s="76"/>
      <c r="K302" s="76"/>
      <c r="L302" s="76"/>
      <c r="M302" s="80"/>
      <c r="N302" s="96"/>
    </row>
    <row r="303" customFormat="false" ht="22.5" hidden="false" customHeight="true" outlineLevel="0" collapsed="false">
      <c r="A303" s="94"/>
      <c r="B303" s="95"/>
      <c r="C303" s="84"/>
      <c r="D303" s="76"/>
      <c r="E303" s="77"/>
      <c r="F303" s="77"/>
      <c r="G303" s="78"/>
      <c r="H303" s="76" t="str">
        <f aca="true">IF(G303="","",IF(G303=1,"Completed",
IF(G303=0,"Not Started",
IF(AND(F303&lt;&gt;"",ISNUMBER(F303),F303&lt;TODAY()),"Delayed","In Progress")
)
)
)</f>
        <v/>
      </c>
      <c r="I303" s="76"/>
      <c r="J303" s="76"/>
      <c r="K303" s="76"/>
      <c r="L303" s="76"/>
      <c r="M303" s="80"/>
      <c r="N303" s="96"/>
    </row>
    <row r="304" customFormat="false" ht="22.5" hidden="false" customHeight="true" outlineLevel="0" collapsed="false">
      <c r="A304" s="94"/>
      <c r="B304" s="95"/>
      <c r="C304" s="84"/>
      <c r="D304" s="76"/>
      <c r="E304" s="77"/>
      <c r="F304" s="77"/>
      <c r="G304" s="78"/>
      <c r="H304" s="76" t="str">
        <f aca="true">IF(G304="","",IF(G304=1,"Completed",
IF(G304=0,"Not Started",
IF(AND(F304&lt;&gt;"",ISNUMBER(F304),F304&lt;TODAY()),"Delayed","In Progress")
)
)
)</f>
        <v/>
      </c>
      <c r="I304" s="76"/>
      <c r="J304" s="76"/>
      <c r="K304" s="76"/>
      <c r="L304" s="76"/>
      <c r="M304" s="80"/>
      <c r="N304" s="96"/>
    </row>
    <row r="305" customFormat="false" ht="22.5" hidden="false" customHeight="true" outlineLevel="0" collapsed="false">
      <c r="A305" s="94"/>
      <c r="B305" s="95"/>
      <c r="C305" s="84"/>
      <c r="D305" s="76"/>
      <c r="E305" s="77"/>
      <c r="F305" s="77"/>
      <c r="G305" s="78"/>
      <c r="H305" s="76" t="str">
        <f aca="true">IF(G305="","",IF(G305=1,"Completed",
IF(G305=0,"Not Started",
IF(AND(F305&lt;&gt;"",ISNUMBER(F305),F305&lt;TODAY()),"Delayed","In Progress")
)
)
)</f>
        <v/>
      </c>
      <c r="I305" s="76"/>
      <c r="J305" s="76"/>
      <c r="K305" s="76"/>
      <c r="L305" s="76"/>
      <c r="M305" s="80"/>
      <c r="N305" s="96"/>
    </row>
    <row r="306" customFormat="false" ht="22.5" hidden="false" customHeight="true" outlineLevel="0" collapsed="false">
      <c r="A306" s="94"/>
      <c r="B306" s="95"/>
      <c r="C306" s="84"/>
      <c r="D306" s="76"/>
      <c r="E306" s="77"/>
      <c r="F306" s="77"/>
      <c r="G306" s="78"/>
      <c r="H306" s="76" t="str">
        <f aca="true">IF(G306="","",IF(G306=1,"Completed",
IF(G306=0,"Not Started",
IF(AND(F306&lt;&gt;"",ISNUMBER(F306),F306&lt;TODAY()),"Delayed","In Progress")
)
)
)</f>
        <v/>
      </c>
      <c r="I306" s="76"/>
      <c r="J306" s="76"/>
      <c r="K306" s="76"/>
      <c r="L306" s="76"/>
      <c r="M306" s="80"/>
      <c r="N306" s="96"/>
    </row>
    <row r="307" customFormat="false" ht="22.5" hidden="false" customHeight="true" outlineLevel="0" collapsed="false">
      <c r="A307" s="94"/>
      <c r="B307" s="95"/>
      <c r="C307" s="84"/>
      <c r="D307" s="76"/>
      <c r="E307" s="77"/>
      <c r="F307" s="77"/>
      <c r="G307" s="78"/>
      <c r="H307" s="76" t="str">
        <f aca="true">IF(G307="","",IF(G307=1,"Completed",
IF(G307=0,"Not Started",
IF(AND(F307&lt;&gt;"",ISNUMBER(F307),F307&lt;TODAY()),"Delayed","In Progress")
)
)
)</f>
        <v/>
      </c>
      <c r="I307" s="76"/>
      <c r="J307" s="76"/>
      <c r="K307" s="76"/>
      <c r="L307" s="76"/>
      <c r="M307" s="80"/>
      <c r="N307" s="96"/>
    </row>
    <row r="308" customFormat="false" ht="22.5" hidden="false" customHeight="true" outlineLevel="0" collapsed="false">
      <c r="A308" s="94"/>
      <c r="B308" s="95"/>
      <c r="C308" s="84"/>
      <c r="D308" s="76"/>
      <c r="E308" s="77"/>
      <c r="F308" s="77"/>
      <c r="G308" s="78"/>
      <c r="H308" s="76" t="str">
        <f aca="true">IF(G308="","",IF(G308=1,"Completed",
IF(G308=0,"Not Started",
IF(AND(F308&lt;&gt;"",ISNUMBER(F308),F308&lt;TODAY()),"Delayed","In Progress")
)
)
)</f>
        <v/>
      </c>
      <c r="I308" s="76"/>
      <c r="J308" s="76"/>
      <c r="K308" s="76"/>
      <c r="L308" s="76"/>
      <c r="M308" s="80"/>
      <c r="N308" s="96"/>
    </row>
    <row r="309" customFormat="false" ht="22.5" hidden="false" customHeight="true" outlineLevel="0" collapsed="false">
      <c r="A309" s="94"/>
      <c r="B309" s="95"/>
      <c r="C309" s="84"/>
      <c r="D309" s="76"/>
      <c r="E309" s="77"/>
      <c r="F309" s="77"/>
      <c r="G309" s="78"/>
      <c r="H309" s="76" t="str">
        <f aca="true">IF(G309="","",IF(G309=1,"Completed",
IF(G309=0,"Not Started",
IF(AND(F309&lt;&gt;"",ISNUMBER(F309),F309&lt;TODAY()),"Delayed","In Progress")
)
)
)</f>
        <v/>
      </c>
      <c r="I309" s="76"/>
      <c r="J309" s="76"/>
      <c r="K309" s="76"/>
      <c r="L309" s="76"/>
      <c r="M309" s="80"/>
      <c r="N309" s="96"/>
    </row>
    <row r="310" customFormat="false" ht="22.5" hidden="false" customHeight="true" outlineLevel="0" collapsed="false">
      <c r="A310" s="94"/>
      <c r="B310" s="95"/>
      <c r="C310" s="84"/>
      <c r="D310" s="76"/>
      <c r="E310" s="77"/>
      <c r="F310" s="77"/>
      <c r="G310" s="78"/>
      <c r="H310" s="76" t="str">
        <f aca="true">IF(G310="","",IF(G310=1,"Completed",
IF(G310=0,"Not Started",
IF(AND(F310&lt;&gt;"",ISNUMBER(F310),F310&lt;TODAY()),"Delayed","In Progress")
)
)
)</f>
        <v/>
      </c>
      <c r="I310" s="76"/>
      <c r="J310" s="76"/>
      <c r="K310" s="76"/>
      <c r="L310" s="76"/>
      <c r="M310" s="80"/>
      <c r="N310" s="96"/>
    </row>
    <row r="311" customFormat="false" ht="22.5" hidden="false" customHeight="true" outlineLevel="0" collapsed="false">
      <c r="A311" s="94"/>
      <c r="B311" s="95"/>
      <c r="C311" s="84"/>
      <c r="D311" s="76"/>
      <c r="E311" s="77"/>
      <c r="F311" s="77"/>
      <c r="G311" s="78"/>
      <c r="H311" s="76" t="str">
        <f aca="true">IF(G311="","",IF(G311=1,"Completed",
IF(G311=0,"Not Started",
IF(AND(F311&lt;&gt;"",ISNUMBER(F311),F311&lt;TODAY()),"Delayed","In Progress")
)
)
)</f>
        <v/>
      </c>
      <c r="I311" s="76"/>
      <c r="J311" s="76"/>
      <c r="K311" s="76"/>
      <c r="L311" s="76"/>
      <c r="M311" s="80"/>
      <c r="N311" s="96"/>
    </row>
    <row r="312" customFormat="false" ht="22.5" hidden="false" customHeight="true" outlineLevel="0" collapsed="false">
      <c r="A312" s="94"/>
      <c r="B312" s="95"/>
      <c r="C312" s="84"/>
      <c r="D312" s="76"/>
      <c r="E312" s="77"/>
      <c r="F312" s="77"/>
      <c r="G312" s="78"/>
      <c r="H312" s="76" t="str">
        <f aca="true">IF(G312="","",IF(G312=1,"Completed",
IF(G312=0,"Not Started",
IF(AND(F312&lt;&gt;"",ISNUMBER(F312),F312&lt;TODAY()),"Delayed","In Progress")
)
)
)</f>
        <v/>
      </c>
      <c r="I312" s="76"/>
      <c r="J312" s="76"/>
      <c r="K312" s="76"/>
      <c r="L312" s="76"/>
      <c r="M312" s="80"/>
      <c r="N312" s="96"/>
    </row>
    <row r="313" customFormat="false" ht="22.5" hidden="false" customHeight="true" outlineLevel="0" collapsed="false">
      <c r="A313" s="94"/>
      <c r="B313" s="95"/>
      <c r="C313" s="84"/>
      <c r="D313" s="76"/>
      <c r="E313" s="77"/>
      <c r="F313" s="77"/>
      <c r="G313" s="78"/>
      <c r="H313" s="76" t="str">
        <f aca="true">IF(G313="","",IF(G313=1,"Completed",
IF(G313=0,"Not Started",
IF(AND(F313&lt;&gt;"",ISNUMBER(F313),F313&lt;TODAY()),"Delayed","In Progress")
)
)
)</f>
        <v/>
      </c>
      <c r="I313" s="76"/>
      <c r="J313" s="76"/>
      <c r="K313" s="76"/>
      <c r="L313" s="76"/>
      <c r="M313" s="80"/>
      <c r="N313" s="96"/>
    </row>
    <row r="314" customFormat="false" ht="22.5" hidden="false" customHeight="true" outlineLevel="0" collapsed="false">
      <c r="A314" s="94"/>
      <c r="B314" s="95"/>
      <c r="C314" s="84"/>
      <c r="D314" s="76"/>
      <c r="E314" s="77"/>
      <c r="F314" s="77"/>
      <c r="G314" s="78"/>
      <c r="H314" s="76" t="str">
        <f aca="true">IF(G314="","",IF(G314=1,"Completed",
IF(G314=0,"Not Started",
IF(AND(F314&lt;&gt;"",ISNUMBER(F314),F314&lt;TODAY()),"Delayed","In Progress")
)
)
)</f>
        <v/>
      </c>
      <c r="I314" s="76"/>
      <c r="J314" s="76"/>
      <c r="K314" s="76"/>
      <c r="L314" s="76"/>
      <c r="M314" s="80"/>
      <c r="N314" s="96"/>
    </row>
    <row r="315" customFormat="false" ht="22.5" hidden="false" customHeight="true" outlineLevel="0" collapsed="false">
      <c r="A315" s="94"/>
      <c r="B315" s="95"/>
      <c r="C315" s="84"/>
      <c r="D315" s="76"/>
      <c r="E315" s="77"/>
      <c r="F315" s="77"/>
      <c r="G315" s="78"/>
      <c r="H315" s="76" t="str">
        <f aca="true">IF(G315="","",IF(G315=1,"Completed",
IF(G315=0,"Not Started",
IF(AND(F315&lt;&gt;"",ISNUMBER(F315),F315&lt;TODAY()),"Delayed","In Progress")
)
)
)</f>
        <v/>
      </c>
      <c r="I315" s="76"/>
      <c r="J315" s="76"/>
      <c r="K315" s="76"/>
      <c r="L315" s="76"/>
      <c r="M315" s="80"/>
      <c r="N315" s="96"/>
    </row>
    <row r="316" customFormat="false" ht="22.5" hidden="false" customHeight="true" outlineLevel="0" collapsed="false">
      <c r="A316" s="94"/>
      <c r="B316" s="95"/>
      <c r="C316" s="84"/>
      <c r="D316" s="76"/>
      <c r="E316" s="77"/>
      <c r="F316" s="77"/>
      <c r="G316" s="78"/>
      <c r="H316" s="76" t="str">
        <f aca="true">IF(G316="","",IF(G316=1,"Completed",
IF(G316=0,"Not Started",
IF(AND(F316&lt;&gt;"",ISNUMBER(F316),F316&lt;TODAY()),"Delayed","In Progress")
)
)
)</f>
        <v/>
      </c>
      <c r="I316" s="76"/>
      <c r="J316" s="76"/>
      <c r="K316" s="76"/>
      <c r="L316" s="76"/>
      <c r="M316" s="80"/>
      <c r="N316" s="96"/>
    </row>
    <row r="317" customFormat="false" ht="22.5" hidden="false" customHeight="true" outlineLevel="0" collapsed="false">
      <c r="A317" s="94"/>
      <c r="B317" s="95"/>
      <c r="C317" s="84"/>
      <c r="D317" s="76"/>
      <c r="E317" s="77"/>
      <c r="F317" s="77"/>
      <c r="G317" s="78"/>
      <c r="H317" s="76" t="str">
        <f aca="true">IF(G317="","",IF(G317=1,"Completed",
IF(G317=0,"Not Started",
IF(AND(F317&lt;&gt;"",ISNUMBER(F317),F317&lt;TODAY()),"Delayed","In Progress")
)
)
)</f>
        <v/>
      </c>
      <c r="I317" s="76"/>
      <c r="J317" s="76"/>
      <c r="K317" s="76"/>
      <c r="L317" s="76"/>
      <c r="M317" s="80"/>
      <c r="N317" s="96"/>
    </row>
    <row r="318" customFormat="false" ht="22.5" hidden="false" customHeight="true" outlineLevel="0" collapsed="false">
      <c r="A318" s="94"/>
      <c r="B318" s="95"/>
      <c r="C318" s="84"/>
      <c r="D318" s="76"/>
      <c r="E318" s="77"/>
      <c r="F318" s="77"/>
      <c r="G318" s="78"/>
      <c r="H318" s="76" t="str">
        <f aca="true">IF(G318="","",IF(G318=1,"Completed",
IF(G318=0,"Not Started",
IF(AND(F318&lt;&gt;"",ISNUMBER(F318),F318&lt;TODAY()),"Delayed","In Progress")
)
)
)</f>
        <v/>
      </c>
      <c r="I318" s="76"/>
      <c r="J318" s="76"/>
      <c r="K318" s="76"/>
      <c r="L318" s="76"/>
      <c r="M318" s="80"/>
      <c r="N318" s="96"/>
    </row>
    <row r="319" customFormat="false" ht="22.5" hidden="false" customHeight="true" outlineLevel="0" collapsed="false">
      <c r="A319" s="94"/>
      <c r="B319" s="95"/>
      <c r="C319" s="84"/>
      <c r="D319" s="76"/>
      <c r="E319" s="77"/>
      <c r="F319" s="77"/>
      <c r="G319" s="78"/>
      <c r="H319" s="76" t="str">
        <f aca="true">IF(G319="","",IF(G319=1,"Completed",
IF(G319=0,"Not Started",
IF(AND(F319&lt;&gt;"",ISNUMBER(F319),F319&lt;TODAY()),"Delayed","In Progress")
)
)
)</f>
        <v/>
      </c>
      <c r="I319" s="76"/>
      <c r="J319" s="76"/>
      <c r="K319" s="76"/>
      <c r="L319" s="76"/>
      <c r="M319" s="80"/>
      <c r="N319" s="96"/>
    </row>
    <row r="320" customFormat="false" ht="22.5" hidden="false" customHeight="true" outlineLevel="0" collapsed="false">
      <c r="A320" s="94"/>
      <c r="B320" s="95"/>
      <c r="C320" s="84"/>
      <c r="D320" s="76"/>
      <c r="E320" s="77"/>
      <c r="F320" s="77"/>
      <c r="G320" s="78"/>
      <c r="H320" s="76" t="str">
        <f aca="true">IF(G320="","",IF(G320=1,"Completed",
IF(G320=0,"Not Started",
IF(AND(F320&lt;&gt;"",ISNUMBER(F320),F320&lt;TODAY()),"Delayed","In Progress")
)
)
)</f>
        <v/>
      </c>
      <c r="I320" s="76"/>
      <c r="J320" s="76"/>
      <c r="K320" s="76"/>
      <c r="L320" s="76"/>
      <c r="M320" s="80"/>
      <c r="N320" s="96"/>
    </row>
    <row r="321" customFormat="false" ht="22.5" hidden="false" customHeight="true" outlineLevel="0" collapsed="false">
      <c r="A321" s="94"/>
      <c r="B321" s="95"/>
      <c r="C321" s="84"/>
      <c r="D321" s="76"/>
      <c r="E321" s="77"/>
      <c r="F321" s="77"/>
      <c r="G321" s="78"/>
      <c r="H321" s="76" t="str">
        <f aca="true">IF(G321="","",IF(G321=1,"Completed",
IF(G321=0,"Not Started",
IF(AND(F321&lt;&gt;"",ISNUMBER(F321),F321&lt;TODAY()),"Delayed","In Progress")
)
)
)</f>
        <v/>
      </c>
      <c r="I321" s="76"/>
      <c r="J321" s="76"/>
      <c r="K321" s="76"/>
      <c r="L321" s="76"/>
      <c r="M321" s="80"/>
      <c r="N321" s="96"/>
    </row>
    <row r="322" customFormat="false" ht="22.5" hidden="false" customHeight="true" outlineLevel="0" collapsed="false">
      <c r="A322" s="94"/>
      <c r="B322" s="95"/>
      <c r="C322" s="84"/>
      <c r="D322" s="76"/>
      <c r="E322" s="77"/>
      <c r="F322" s="77"/>
      <c r="G322" s="78"/>
      <c r="H322" s="76" t="str">
        <f aca="true">IF(G322="","",IF(G322=1,"Completed",
IF(G322=0,"Not Started",
IF(AND(F322&lt;&gt;"",ISNUMBER(F322),F322&lt;TODAY()),"Delayed","In Progress")
)
)
)</f>
        <v/>
      </c>
      <c r="I322" s="76"/>
      <c r="J322" s="76"/>
      <c r="K322" s="76"/>
      <c r="L322" s="76"/>
      <c r="M322" s="80"/>
      <c r="N322" s="96"/>
    </row>
    <row r="323" customFormat="false" ht="22.5" hidden="false" customHeight="true" outlineLevel="0" collapsed="false">
      <c r="A323" s="94"/>
      <c r="B323" s="95"/>
      <c r="C323" s="84"/>
      <c r="D323" s="76"/>
      <c r="E323" s="77"/>
      <c r="F323" s="77"/>
      <c r="G323" s="78"/>
      <c r="H323" s="76" t="str">
        <f aca="true">IF(G323="","",IF(G323=1,"Completed",
IF(G323=0,"Not Started",
IF(AND(F323&lt;&gt;"",ISNUMBER(F323),F323&lt;TODAY()),"Delayed","In Progress")
)
)
)</f>
        <v/>
      </c>
      <c r="I323" s="76"/>
      <c r="J323" s="76"/>
      <c r="K323" s="76"/>
      <c r="L323" s="76"/>
      <c r="M323" s="80"/>
      <c r="N323" s="96"/>
    </row>
    <row r="324" customFormat="false" ht="22.5" hidden="false" customHeight="true" outlineLevel="0" collapsed="false">
      <c r="A324" s="94"/>
      <c r="B324" s="95"/>
      <c r="C324" s="84"/>
      <c r="D324" s="76"/>
      <c r="E324" s="77"/>
      <c r="F324" s="77"/>
      <c r="G324" s="78"/>
      <c r="H324" s="76" t="str">
        <f aca="true">IF(G324="","",IF(G324=1,"Completed",
IF(G324=0,"Not Started",
IF(AND(F324&lt;&gt;"",ISNUMBER(F324),F324&lt;TODAY()),"Delayed","In Progress")
)
)
)</f>
        <v/>
      </c>
      <c r="I324" s="76"/>
      <c r="J324" s="76"/>
      <c r="K324" s="76"/>
      <c r="L324" s="76"/>
      <c r="M324" s="80"/>
      <c r="N324" s="96"/>
    </row>
    <row r="325" customFormat="false" ht="22.5" hidden="false" customHeight="true" outlineLevel="0" collapsed="false">
      <c r="A325" s="94"/>
      <c r="B325" s="95"/>
      <c r="C325" s="84"/>
      <c r="D325" s="76"/>
      <c r="E325" s="77"/>
      <c r="F325" s="77"/>
      <c r="G325" s="78"/>
      <c r="H325" s="76" t="str">
        <f aca="true">IF(G325="","",IF(G325=1,"Completed",
IF(G325=0,"Not Started",
IF(AND(F325&lt;&gt;"",ISNUMBER(F325),F325&lt;TODAY()),"Delayed","In Progress")
)
)
)</f>
        <v/>
      </c>
      <c r="I325" s="76"/>
      <c r="J325" s="76"/>
      <c r="K325" s="76"/>
      <c r="L325" s="76"/>
      <c r="M325" s="80"/>
      <c r="N325" s="96"/>
    </row>
    <row r="326" customFormat="false" ht="22.5" hidden="false" customHeight="true" outlineLevel="0" collapsed="false">
      <c r="A326" s="94"/>
      <c r="B326" s="95"/>
      <c r="C326" s="84"/>
      <c r="D326" s="76"/>
      <c r="E326" s="77"/>
      <c r="F326" s="77"/>
      <c r="G326" s="78"/>
      <c r="H326" s="76" t="str">
        <f aca="true">IF(G326="","",IF(G326=1,"Completed",
  IF(G326=0,"Not Started",
   IF(AND(F326&lt;&gt;"",ISNUMBER(F326),F326&lt;TODAY()),"Delayed","In Progress")
  )
 )
)</f>
        <v/>
      </c>
      <c r="I326" s="76"/>
      <c r="J326" s="76"/>
      <c r="K326" s="76"/>
      <c r="L326" s="76"/>
      <c r="M326" s="80"/>
      <c r="N326" s="96"/>
    </row>
    <row r="327" customFormat="false" ht="22.5" hidden="false" customHeight="true" outlineLevel="0" collapsed="false">
      <c r="A327" s="94"/>
      <c r="B327" s="95"/>
      <c r="C327" s="84"/>
      <c r="D327" s="76"/>
      <c r="E327" s="77"/>
      <c r="F327" s="77"/>
      <c r="G327" s="78"/>
      <c r="H327" s="76" t="str">
        <f aca="true">IF(G327="","",IF(G327=1,"Completed",
IF(G327=0,"Not Started",
IF(AND(F327&lt;&gt;"",ISNUMBER(F327),F327&lt;TODAY()),"Delayed","In Progress")
)
)
)</f>
        <v/>
      </c>
      <c r="I327" s="76"/>
      <c r="J327" s="76"/>
      <c r="K327" s="76"/>
      <c r="L327" s="76"/>
      <c r="M327" s="80"/>
      <c r="N327" s="96"/>
    </row>
    <row r="328" customFormat="false" ht="22.5" hidden="false" customHeight="true" outlineLevel="0" collapsed="false">
      <c r="A328" s="94"/>
      <c r="B328" s="95"/>
      <c r="C328" s="84"/>
      <c r="D328" s="76"/>
      <c r="E328" s="77"/>
      <c r="F328" s="77"/>
      <c r="G328" s="78"/>
      <c r="H328" s="76" t="str">
        <f aca="true">IF(G328="","",IF(G328=1,"Completed",
IF(G328=0,"Not Started",
IF(AND(F328&lt;&gt;"",ISNUMBER(F328),F328&lt;TODAY()),"Delayed","In Progress")
)
)
)</f>
        <v/>
      </c>
      <c r="I328" s="76"/>
      <c r="J328" s="76"/>
      <c r="K328" s="76"/>
      <c r="L328" s="76"/>
      <c r="M328" s="80"/>
      <c r="N328" s="96"/>
    </row>
    <row r="329" customFormat="false" ht="22.5" hidden="false" customHeight="true" outlineLevel="0" collapsed="false">
      <c r="A329" s="94"/>
      <c r="B329" s="95"/>
      <c r="C329" s="84"/>
      <c r="D329" s="76"/>
      <c r="E329" s="77"/>
      <c r="F329" s="77"/>
      <c r="G329" s="78"/>
      <c r="H329" s="76" t="str">
        <f aca="true">IF(G329="","",IF(G329=1,"Completed",
IF(G329=0,"Not Started",
IF(AND(F329&lt;&gt;"",ISNUMBER(F329),F329&lt;TODAY()),"Delayed","In Progress")
)
)
)</f>
        <v/>
      </c>
      <c r="I329" s="76"/>
      <c r="J329" s="76"/>
      <c r="K329" s="76"/>
      <c r="L329" s="76"/>
      <c r="M329" s="80"/>
      <c r="N329" s="96"/>
    </row>
    <row r="330" customFormat="false" ht="22.5" hidden="false" customHeight="true" outlineLevel="0" collapsed="false">
      <c r="A330" s="94"/>
      <c r="B330" s="95"/>
      <c r="C330" s="84"/>
      <c r="D330" s="76"/>
      <c r="E330" s="77"/>
      <c r="F330" s="77"/>
      <c r="G330" s="78"/>
      <c r="H330" s="76" t="str">
        <f aca="true">IF(G330="","",IF(G330=1,"Completed",
IF(G330=0,"Not Started",
IF(AND(F330&lt;&gt;"",ISNUMBER(F330),F330&lt;TODAY()),"Delayed","In Progress")
)
)
)</f>
        <v/>
      </c>
      <c r="I330" s="76"/>
      <c r="J330" s="76"/>
      <c r="K330" s="76"/>
      <c r="L330" s="76"/>
      <c r="M330" s="80"/>
      <c r="N330" s="96"/>
    </row>
    <row r="331" customFormat="false" ht="22.5" hidden="false" customHeight="true" outlineLevel="0" collapsed="false">
      <c r="A331" s="94"/>
      <c r="B331" s="95"/>
      <c r="C331" s="84"/>
      <c r="D331" s="76"/>
      <c r="E331" s="77"/>
      <c r="F331" s="77"/>
      <c r="G331" s="78"/>
      <c r="H331" s="76" t="str">
        <f aca="true">IF(G331="","",IF(G331=1,"Completed",
IF(G331=0,"Not Started",
IF(AND(F331&lt;&gt;"",ISNUMBER(F331),F331&lt;TODAY()),"Delayed","In Progress")
)
)
)</f>
        <v/>
      </c>
      <c r="I331" s="76"/>
      <c r="J331" s="76"/>
      <c r="K331" s="76"/>
      <c r="L331" s="76"/>
      <c r="M331" s="80"/>
      <c r="N331" s="96"/>
    </row>
    <row r="332" customFormat="false" ht="22.5" hidden="false" customHeight="true" outlineLevel="0" collapsed="false">
      <c r="A332" s="94"/>
      <c r="B332" s="95"/>
      <c r="C332" s="84"/>
      <c r="D332" s="76"/>
      <c r="E332" s="77"/>
      <c r="F332" s="77"/>
      <c r="G332" s="78"/>
      <c r="H332" s="76" t="str">
        <f aca="true">IF(G332="","",IF(G332=1,"Completed",
IF(G332=0,"Not Started",
IF(AND(F332&lt;&gt;"",ISNUMBER(F332),F332&lt;TODAY()),"Delayed","In Progress")
)
)
)</f>
        <v/>
      </c>
      <c r="I332" s="76"/>
      <c r="J332" s="76"/>
      <c r="K332" s="76"/>
      <c r="L332" s="76"/>
      <c r="M332" s="80"/>
      <c r="N332" s="96"/>
    </row>
    <row r="333" customFormat="false" ht="22.5" hidden="false" customHeight="true" outlineLevel="0" collapsed="false">
      <c r="A333" s="94"/>
      <c r="B333" s="95"/>
      <c r="C333" s="84"/>
      <c r="D333" s="76"/>
      <c r="E333" s="77"/>
      <c r="F333" s="77"/>
      <c r="G333" s="78"/>
      <c r="H333" s="76" t="str">
        <f aca="true">IF(G333="","",IF(G333=1,"Completed",
IF(G333=0,"Not Started",
IF(AND(F333&lt;&gt;"",ISNUMBER(F333),F333&lt;TODAY()),"Delayed","In Progress")
)
)
)</f>
        <v/>
      </c>
      <c r="I333" s="76"/>
      <c r="J333" s="76"/>
      <c r="K333" s="76"/>
      <c r="L333" s="76"/>
      <c r="M333" s="80"/>
      <c r="N333" s="96"/>
    </row>
    <row r="334" customFormat="false" ht="22.5" hidden="false" customHeight="true" outlineLevel="0" collapsed="false">
      <c r="A334" s="94"/>
      <c r="B334" s="95"/>
      <c r="C334" s="84"/>
      <c r="D334" s="76"/>
      <c r="E334" s="77"/>
      <c r="F334" s="77"/>
      <c r="G334" s="78"/>
      <c r="H334" s="76" t="str">
        <f aca="true">IF(G334="","",IF(G334=1,"Completed",
IF(G334=0,"Not Started",
IF(AND(F334&lt;&gt;"",ISNUMBER(F334),F334&lt;TODAY()),"Delayed","In Progress")
)
)
)</f>
        <v/>
      </c>
      <c r="I334" s="76"/>
      <c r="J334" s="76"/>
      <c r="K334" s="76"/>
      <c r="L334" s="76"/>
      <c r="M334" s="80"/>
      <c r="N334" s="96"/>
    </row>
    <row r="335" customFormat="false" ht="22.5" hidden="false" customHeight="true" outlineLevel="0" collapsed="false">
      <c r="A335" s="94"/>
      <c r="B335" s="95"/>
      <c r="C335" s="84"/>
      <c r="D335" s="76"/>
      <c r="E335" s="77"/>
      <c r="F335" s="77"/>
      <c r="G335" s="78"/>
      <c r="H335" s="76" t="str">
        <f aca="true">IF(G335="","",IF(G335=1,"Completed",
IF(G335=0,"Not Started",
IF(AND(F335&lt;&gt;"",ISNUMBER(F335),F335&lt;TODAY()),"Delayed","In Progress")
)
)
)</f>
        <v/>
      </c>
      <c r="I335" s="76"/>
      <c r="J335" s="76"/>
      <c r="K335" s="76"/>
      <c r="L335" s="76"/>
      <c r="M335" s="80"/>
      <c r="N335" s="96"/>
    </row>
    <row r="336" customFormat="false" ht="22.5" hidden="false" customHeight="true" outlineLevel="0" collapsed="false">
      <c r="A336" s="94"/>
      <c r="B336" s="95"/>
      <c r="C336" s="84"/>
      <c r="D336" s="76"/>
      <c r="E336" s="77"/>
      <c r="F336" s="77"/>
      <c r="G336" s="78"/>
      <c r="H336" s="76" t="str">
        <f aca="true">IF(G336="","",IF(G336=1,"Completed",
IF(G336=0,"Not Started",
IF(AND(F336&lt;&gt;"",ISNUMBER(F336),F336&lt;TODAY()),"Delayed","In Progress")
)
)
)</f>
        <v/>
      </c>
      <c r="I336" s="76"/>
      <c r="J336" s="76"/>
      <c r="K336" s="76"/>
      <c r="L336" s="76"/>
      <c r="M336" s="80"/>
      <c r="N336" s="96"/>
    </row>
    <row r="337" customFormat="false" ht="22.5" hidden="false" customHeight="true" outlineLevel="0" collapsed="false">
      <c r="A337" s="94"/>
      <c r="B337" s="95"/>
      <c r="C337" s="84"/>
      <c r="D337" s="76"/>
      <c r="E337" s="77"/>
      <c r="F337" s="77"/>
      <c r="G337" s="78"/>
      <c r="H337" s="76" t="str">
        <f aca="true">IF(G337="","",IF(G337=1,"Completed",
IF(G337=0,"Not Started",
IF(AND(F337&lt;&gt;"",ISNUMBER(F337),F337&lt;TODAY()),"Delayed","In Progress")
)
)
)</f>
        <v/>
      </c>
      <c r="I337" s="76"/>
      <c r="J337" s="76"/>
      <c r="K337" s="76"/>
      <c r="L337" s="76"/>
      <c r="M337" s="80"/>
      <c r="N337" s="96"/>
    </row>
    <row r="338" customFormat="false" ht="22.5" hidden="false" customHeight="true" outlineLevel="0" collapsed="false">
      <c r="A338" s="94"/>
      <c r="B338" s="95"/>
      <c r="C338" s="84"/>
      <c r="D338" s="76"/>
      <c r="E338" s="77"/>
      <c r="F338" s="77"/>
      <c r="G338" s="78"/>
      <c r="H338" s="76" t="str">
        <f aca="true">IF(G338="","",IF(G338=1,"Completed",
IF(G338=0,"Not Started",
IF(AND(F338&lt;&gt;"",ISNUMBER(F338),F338&lt;TODAY()),"Delayed","In Progress")
)
)
)</f>
        <v/>
      </c>
      <c r="I338" s="76"/>
      <c r="J338" s="76"/>
      <c r="K338" s="76"/>
      <c r="L338" s="76"/>
      <c r="M338" s="80"/>
      <c r="N338" s="96"/>
    </row>
    <row r="339" customFormat="false" ht="22.5" hidden="false" customHeight="true" outlineLevel="0" collapsed="false">
      <c r="A339" s="94"/>
      <c r="B339" s="95"/>
      <c r="C339" s="84"/>
      <c r="D339" s="76"/>
      <c r="E339" s="77"/>
      <c r="F339" s="77"/>
      <c r="G339" s="78"/>
      <c r="H339" s="76" t="str">
        <f aca="true">IF(G339="","",IF(G339=1,"Completed",
IF(G339=0,"Not Started",
IF(AND(F339&lt;&gt;"",ISNUMBER(F339),F339&lt;TODAY()),"Delayed","In Progress")
)
)
)</f>
        <v/>
      </c>
      <c r="I339" s="76"/>
      <c r="J339" s="76"/>
      <c r="K339" s="76"/>
      <c r="L339" s="76"/>
      <c r="M339" s="80"/>
      <c r="N339" s="96"/>
    </row>
    <row r="340" customFormat="false" ht="22.5" hidden="false" customHeight="true" outlineLevel="0" collapsed="false">
      <c r="A340" s="94"/>
      <c r="B340" s="95"/>
      <c r="C340" s="84"/>
      <c r="D340" s="76"/>
      <c r="E340" s="77"/>
      <c r="F340" s="77"/>
      <c r="G340" s="78"/>
      <c r="H340" s="76" t="str">
        <f aca="true">IF(G340="","",IF(G340=1,"Completed",
IF(G340=0,"Not Started",
IF(AND(F340&lt;&gt;"",ISNUMBER(F340),F340&lt;TODAY()),"Delayed","In Progress")
)
)
)</f>
        <v/>
      </c>
      <c r="I340" s="76"/>
      <c r="J340" s="76"/>
      <c r="K340" s="76"/>
      <c r="L340" s="76"/>
      <c r="M340" s="80"/>
      <c r="N340" s="96"/>
    </row>
    <row r="341" customFormat="false" ht="22.5" hidden="false" customHeight="true" outlineLevel="0" collapsed="false">
      <c r="A341" s="94"/>
      <c r="B341" s="95"/>
      <c r="C341" s="84"/>
      <c r="D341" s="76"/>
      <c r="E341" s="77"/>
      <c r="F341" s="77"/>
      <c r="G341" s="78"/>
      <c r="H341" s="76" t="str">
        <f aca="true">IF(G341="","",IF(G341=1,"Completed",
IF(G341=0,"Not Started",
IF(AND(F341&lt;&gt;"",ISNUMBER(F341),F341&lt;TODAY()),"Delayed","In Progress")
)
)
)</f>
        <v/>
      </c>
      <c r="I341" s="76"/>
      <c r="J341" s="76"/>
      <c r="K341" s="76"/>
      <c r="L341" s="76"/>
      <c r="M341" s="80"/>
      <c r="N341" s="96"/>
    </row>
    <row r="342" customFormat="false" ht="22.5" hidden="false" customHeight="true" outlineLevel="0" collapsed="false">
      <c r="A342" s="94"/>
      <c r="B342" s="95"/>
      <c r="C342" s="84"/>
      <c r="D342" s="76"/>
      <c r="E342" s="77"/>
      <c r="F342" s="77"/>
      <c r="G342" s="78"/>
      <c r="H342" s="76" t="str">
        <f aca="true">IF(G342="","",IF(G342=1,"Completed",
IF(G342=0,"Not Started",
IF(AND(F342&lt;&gt;"",ISNUMBER(F342),F342&lt;TODAY()),"Delayed","In Progress")
)
)
)</f>
        <v/>
      </c>
      <c r="I342" s="76"/>
      <c r="J342" s="76"/>
      <c r="K342" s="76"/>
      <c r="L342" s="76"/>
      <c r="M342" s="80"/>
      <c r="N342" s="96"/>
    </row>
    <row r="343" customFormat="false" ht="22.5" hidden="false" customHeight="true" outlineLevel="0" collapsed="false">
      <c r="A343" s="94"/>
      <c r="B343" s="95"/>
      <c r="C343" s="84"/>
      <c r="D343" s="76"/>
      <c r="E343" s="77"/>
      <c r="F343" s="77"/>
      <c r="G343" s="78"/>
      <c r="H343" s="76" t="str">
        <f aca="true">IF(G343="","",IF(G343=1,"Completed",
IF(G343=0,"Not Started",
IF(AND(F343&lt;&gt;"",ISNUMBER(F343),F343&lt;TODAY()),"Delayed","In Progress")
)
)
)</f>
        <v/>
      </c>
      <c r="I343" s="76"/>
      <c r="J343" s="76"/>
      <c r="K343" s="76"/>
      <c r="L343" s="76"/>
      <c r="M343" s="80"/>
      <c r="N343" s="96"/>
    </row>
    <row r="344" customFormat="false" ht="22.5" hidden="false" customHeight="true" outlineLevel="0" collapsed="false">
      <c r="A344" s="94"/>
      <c r="B344" s="95"/>
      <c r="C344" s="84"/>
      <c r="D344" s="76"/>
      <c r="E344" s="77"/>
      <c r="F344" s="77"/>
      <c r="G344" s="78"/>
      <c r="H344" s="76" t="str">
        <f aca="true">IF(G344="","",IF(G344=1,"Completed",
IF(G344=0,"Not Started",
IF(AND(F344&lt;&gt;"",ISNUMBER(F344),F344&lt;TODAY()),"Delayed","In Progress")
)
)
)</f>
        <v/>
      </c>
      <c r="I344" s="76"/>
      <c r="J344" s="76"/>
      <c r="K344" s="76"/>
      <c r="L344" s="76"/>
      <c r="M344" s="80"/>
      <c r="N344" s="96"/>
    </row>
    <row r="345" customFormat="false" ht="22.5" hidden="false" customHeight="true" outlineLevel="0" collapsed="false">
      <c r="A345" s="94"/>
      <c r="B345" s="95"/>
      <c r="C345" s="84"/>
      <c r="D345" s="76"/>
      <c r="E345" s="77"/>
      <c r="F345" s="77"/>
      <c r="G345" s="78"/>
      <c r="H345" s="76" t="str">
        <f aca="true">IF(G345="","",IF(G345=1,"Completed",
IF(G345=0,"Not Started",
IF(AND(F345&lt;&gt;"",ISNUMBER(F345),F345&lt;TODAY()),"Delayed","In Progress")
)
)
)</f>
        <v/>
      </c>
      <c r="I345" s="76"/>
      <c r="J345" s="76"/>
      <c r="K345" s="76"/>
      <c r="L345" s="76"/>
      <c r="M345" s="80"/>
      <c r="N345" s="96"/>
    </row>
    <row r="346" customFormat="false" ht="22.5" hidden="false" customHeight="true" outlineLevel="0" collapsed="false">
      <c r="A346" s="94"/>
      <c r="B346" s="95"/>
      <c r="C346" s="84"/>
      <c r="D346" s="76"/>
      <c r="E346" s="77"/>
      <c r="F346" s="77"/>
      <c r="G346" s="78"/>
      <c r="H346" s="76" t="str">
        <f aca="true">IF(G346="","",IF(G346=1,"Completed",
IF(G346=0,"Not Started",
IF(AND(F346&lt;&gt;"",ISNUMBER(F346),F346&lt;TODAY()),"Delayed","In Progress")
)
)
)</f>
        <v/>
      </c>
      <c r="I346" s="76"/>
      <c r="J346" s="76"/>
      <c r="K346" s="76"/>
      <c r="L346" s="76"/>
      <c r="M346" s="80"/>
      <c r="N346" s="96"/>
    </row>
    <row r="347" customFormat="false" ht="22.5" hidden="false" customHeight="true" outlineLevel="0" collapsed="false">
      <c r="A347" s="94"/>
      <c r="B347" s="95"/>
      <c r="C347" s="84"/>
      <c r="D347" s="76"/>
      <c r="E347" s="77"/>
      <c r="F347" s="77"/>
      <c r="G347" s="78"/>
      <c r="H347" s="76" t="str">
        <f aca="true">IF(G347="","",IF(G347=1,"Completed",
IF(G347=0,"Not Started",
IF(AND(F347&lt;&gt;"",ISNUMBER(F347),F347&lt;TODAY()),"Delayed","In Progress")
)
)
)</f>
        <v/>
      </c>
      <c r="I347" s="76"/>
      <c r="J347" s="76"/>
      <c r="K347" s="76"/>
      <c r="L347" s="76"/>
      <c r="M347" s="80"/>
      <c r="N347" s="96"/>
    </row>
    <row r="348" customFormat="false" ht="22.5" hidden="false" customHeight="true" outlineLevel="0" collapsed="false">
      <c r="A348" s="94"/>
      <c r="B348" s="95"/>
      <c r="C348" s="84"/>
      <c r="D348" s="76"/>
      <c r="E348" s="77"/>
      <c r="F348" s="77"/>
      <c r="G348" s="78"/>
      <c r="H348" s="76" t="str">
        <f aca="true">IF(G348="","",IF(G348=1,"Completed",
IF(G348=0,"Not Started",
IF(AND(F348&lt;&gt;"",ISNUMBER(F348),F348&lt;TODAY()),"Delayed","In Progress")
)
)
)</f>
        <v/>
      </c>
      <c r="I348" s="76"/>
      <c r="J348" s="76"/>
      <c r="K348" s="76"/>
      <c r="L348" s="76"/>
      <c r="M348" s="80"/>
      <c r="N348" s="96"/>
    </row>
    <row r="349" customFormat="false" ht="22.5" hidden="false" customHeight="true" outlineLevel="0" collapsed="false">
      <c r="A349" s="94"/>
      <c r="B349" s="95"/>
      <c r="C349" s="84"/>
      <c r="D349" s="76"/>
      <c r="E349" s="77"/>
      <c r="F349" s="77"/>
      <c r="G349" s="78"/>
      <c r="H349" s="76" t="str">
        <f aca="true">IF(G349="","",IF(G349=1,"Completed",
IF(G349=0,"Not Started",
IF(AND(F349&lt;&gt;"",ISNUMBER(F349),F349&lt;TODAY()),"Delayed","In Progress")
)
)
)</f>
        <v/>
      </c>
      <c r="I349" s="76"/>
      <c r="J349" s="76"/>
      <c r="K349" s="76"/>
      <c r="L349" s="76"/>
      <c r="M349" s="80"/>
      <c r="N349" s="96"/>
    </row>
    <row r="350" customFormat="false" ht="22.5" hidden="false" customHeight="true" outlineLevel="0" collapsed="false">
      <c r="A350" s="94"/>
      <c r="B350" s="95"/>
      <c r="C350" s="84"/>
      <c r="D350" s="76"/>
      <c r="E350" s="77"/>
      <c r="F350" s="77"/>
      <c r="G350" s="78"/>
      <c r="H350" s="76" t="str">
        <f aca="true">IF(G350="","",IF(G350=1,"Completed",
IF(G350=0,"Not Started",
IF(AND(F350&lt;&gt;"",ISNUMBER(F350),F350&lt;TODAY()),"Delayed","In Progress")
)
)
)</f>
        <v/>
      </c>
      <c r="I350" s="76"/>
      <c r="J350" s="76"/>
      <c r="K350" s="76"/>
      <c r="L350" s="76"/>
      <c r="M350" s="80"/>
      <c r="N350" s="96"/>
    </row>
    <row r="351" customFormat="false" ht="22.5" hidden="false" customHeight="true" outlineLevel="0" collapsed="false">
      <c r="A351" s="94"/>
      <c r="B351" s="95"/>
      <c r="C351" s="84"/>
      <c r="D351" s="76"/>
      <c r="E351" s="77"/>
      <c r="F351" s="77"/>
      <c r="G351" s="78"/>
      <c r="H351" s="76" t="str">
        <f aca="true">IF(G351="","",IF(G351=1,"Completed",
IF(G351=0,"Not Started",
IF(AND(F351&lt;&gt;"",ISNUMBER(F351),F351&lt;TODAY()),"Delayed","In Progress")
)
)
)</f>
        <v/>
      </c>
      <c r="I351" s="76"/>
      <c r="J351" s="76"/>
      <c r="K351" s="76"/>
      <c r="L351" s="76"/>
      <c r="M351" s="80"/>
      <c r="N351" s="96"/>
    </row>
    <row r="352" customFormat="false" ht="22.5" hidden="false" customHeight="true" outlineLevel="0" collapsed="false">
      <c r="A352" s="94"/>
      <c r="B352" s="95"/>
      <c r="C352" s="84"/>
      <c r="D352" s="76"/>
      <c r="E352" s="77"/>
      <c r="F352" s="77"/>
      <c r="G352" s="78"/>
      <c r="H352" s="76" t="str">
        <f aca="true">IF(G352="","",IF(G352=1,"Completed",
IF(G352=0,"Not Started",
IF(AND(F352&lt;&gt;"",ISNUMBER(F352),F352&lt;TODAY()),"Delayed","In Progress")
)
)
)</f>
        <v/>
      </c>
      <c r="I352" s="76"/>
      <c r="J352" s="76"/>
      <c r="K352" s="76"/>
      <c r="L352" s="76"/>
      <c r="M352" s="80"/>
      <c r="N352" s="96"/>
    </row>
    <row r="353" customFormat="false" ht="22.5" hidden="false" customHeight="true" outlineLevel="0" collapsed="false">
      <c r="A353" s="94"/>
      <c r="B353" s="95"/>
      <c r="C353" s="84"/>
      <c r="D353" s="76"/>
      <c r="E353" s="77"/>
      <c r="F353" s="77"/>
      <c r="G353" s="78"/>
      <c r="H353" s="76" t="str">
        <f aca="true">IF(G353="","",IF(G353=1,"Completed",
IF(G353=0,"Not Started",
IF(AND(F353&lt;&gt;"",ISNUMBER(F353),F353&lt;TODAY()),"Delayed","In Progress")
)
)
)</f>
        <v/>
      </c>
      <c r="I353" s="76"/>
      <c r="J353" s="76"/>
      <c r="K353" s="76"/>
      <c r="L353" s="76"/>
      <c r="M353" s="80"/>
      <c r="N353" s="96"/>
    </row>
    <row r="354" customFormat="false" ht="22.5" hidden="false" customHeight="true" outlineLevel="0" collapsed="false">
      <c r="A354" s="94"/>
      <c r="B354" s="95"/>
      <c r="C354" s="84"/>
      <c r="D354" s="76"/>
      <c r="E354" s="77"/>
      <c r="F354" s="77"/>
      <c r="G354" s="78"/>
      <c r="H354" s="76" t="str">
        <f aca="true">IF(G354="","",IF(G354=1,"Completed",
IF(G354=0,"Not Started",
IF(AND(F354&lt;&gt;"",ISNUMBER(F354),F354&lt;TODAY()),"Delayed","In Progress")
)
)
)</f>
        <v/>
      </c>
      <c r="I354" s="76"/>
      <c r="J354" s="76"/>
      <c r="K354" s="76"/>
      <c r="L354" s="76"/>
      <c r="M354" s="80"/>
      <c r="N354" s="96"/>
    </row>
    <row r="355" customFormat="false" ht="22.5" hidden="false" customHeight="true" outlineLevel="0" collapsed="false">
      <c r="A355" s="94"/>
      <c r="B355" s="95"/>
      <c r="C355" s="84"/>
      <c r="D355" s="76"/>
      <c r="E355" s="77"/>
      <c r="F355" s="77"/>
      <c r="G355" s="78"/>
      <c r="H355" s="76" t="str">
        <f aca="true">IF(G355="","",IF(G355=1,"Completed",
IF(G355=0,"Not Started",
IF(AND(F355&lt;&gt;"",ISNUMBER(F355),F355&lt;TODAY()),"Delayed","In Progress")
)
)
)</f>
        <v/>
      </c>
      <c r="I355" s="76"/>
      <c r="J355" s="76"/>
      <c r="K355" s="76"/>
      <c r="L355" s="76"/>
      <c r="M355" s="80"/>
      <c r="N355" s="96"/>
    </row>
    <row r="356" customFormat="false" ht="22.5" hidden="false" customHeight="true" outlineLevel="0" collapsed="false">
      <c r="A356" s="94"/>
      <c r="B356" s="95"/>
      <c r="C356" s="84"/>
      <c r="D356" s="76"/>
      <c r="E356" s="77"/>
      <c r="F356" s="77"/>
      <c r="G356" s="78"/>
      <c r="H356" s="76" t="str">
        <f aca="true">IF(G356="","",IF(G356=1,"Completed",
IF(G356=0,"Not Started",
IF(AND(F356&lt;&gt;"",ISNUMBER(F356),F356&lt;TODAY()),"Delayed","In Progress")
)
)
)</f>
        <v/>
      </c>
      <c r="I356" s="76"/>
      <c r="J356" s="76"/>
      <c r="K356" s="76"/>
      <c r="L356" s="76"/>
      <c r="M356" s="80"/>
      <c r="N356" s="96"/>
    </row>
    <row r="357" customFormat="false" ht="22.5" hidden="false" customHeight="true" outlineLevel="0" collapsed="false">
      <c r="A357" s="94"/>
      <c r="B357" s="95"/>
      <c r="C357" s="84"/>
      <c r="D357" s="76"/>
      <c r="E357" s="77"/>
      <c r="F357" s="77"/>
      <c r="G357" s="78"/>
      <c r="H357" s="76" t="str">
        <f aca="true">IF(G357="","",IF(G357=1,"Completed",
IF(G357=0,"Not Started",
IF(AND(F357&lt;&gt;"",ISNUMBER(F357),F357&lt;TODAY()),"Delayed","In Progress")
)
)
)</f>
        <v/>
      </c>
      <c r="I357" s="76"/>
      <c r="J357" s="76"/>
      <c r="K357" s="76"/>
      <c r="L357" s="76"/>
      <c r="M357" s="80"/>
      <c r="N357" s="96"/>
    </row>
    <row r="358" customFormat="false" ht="22.5" hidden="false" customHeight="true" outlineLevel="0" collapsed="false">
      <c r="A358" s="94"/>
      <c r="B358" s="95"/>
      <c r="C358" s="84"/>
      <c r="D358" s="76"/>
      <c r="E358" s="77"/>
      <c r="F358" s="77"/>
      <c r="G358" s="78"/>
      <c r="H358" s="76" t="str">
        <f aca="true">IF(G358="","",IF(G358=1,"Completed",
IF(G358=0,"Not Started",
IF(AND(F358&lt;&gt;"",ISNUMBER(F358),F358&lt;TODAY()),"Delayed","In Progress")
)
)
)</f>
        <v/>
      </c>
      <c r="I358" s="76"/>
      <c r="J358" s="76"/>
      <c r="K358" s="76"/>
      <c r="L358" s="76"/>
      <c r="M358" s="80"/>
      <c r="N358" s="96"/>
    </row>
    <row r="359" customFormat="false" ht="22.5" hidden="false" customHeight="true" outlineLevel="0" collapsed="false">
      <c r="A359" s="94"/>
      <c r="B359" s="95"/>
      <c r="C359" s="84"/>
      <c r="D359" s="76"/>
      <c r="E359" s="77"/>
      <c r="F359" s="77"/>
      <c r="G359" s="78"/>
      <c r="H359" s="76" t="str">
        <f aca="true">IF(G359="","",IF(G359=1,"Completed",
IF(G359=0,"Not Started",
IF(AND(F359&lt;&gt;"",ISNUMBER(F359),F359&lt;TODAY()),"Delayed","In Progress")
)
)
)</f>
        <v/>
      </c>
      <c r="I359" s="76"/>
      <c r="J359" s="76"/>
      <c r="K359" s="76"/>
      <c r="L359" s="76"/>
      <c r="M359" s="80"/>
      <c r="N359" s="96"/>
    </row>
    <row r="360" customFormat="false" ht="22.5" hidden="false" customHeight="true" outlineLevel="0" collapsed="false">
      <c r="A360" s="94"/>
      <c r="B360" s="95"/>
      <c r="C360" s="84"/>
      <c r="D360" s="76"/>
      <c r="E360" s="77"/>
      <c r="F360" s="77"/>
      <c r="G360" s="78"/>
      <c r="H360" s="76" t="str">
        <f aca="true">IF(G360="","",IF(G360=1,"Completed",
IF(G360=0,"Not Started",
IF(AND(F360&lt;&gt;"",ISNUMBER(F360),F360&lt;TODAY()),"Delayed","In Progress")
)
)
)</f>
        <v/>
      </c>
      <c r="I360" s="76"/>
      <c r="J360" s="76"/>
      <c r="K360" s="76"/>
      <c r="L360" s="76"/>
      <c r="M360" s="80"/>
      <c r="N360" s="96"/>
    </row>
    <row r="361" customFormat="false" ht="22.5" hidden="false" customHeight="true" outlineLevel="0" collapsed="false">
      <c r="A361" s="94"/>
      <c r="B361" s="95"/>
      <c r="C361" s="84"/>
      <c r="D361" s="76"/>
      <c r="E361" s="77"/>
      <c r="F361" s="77"/>
      <c r="G361" s="78"/>
      <c r="H361" s="76" t="str">
        <f aca="true">IF(G361="","",IF(G361=1,"Completed",
IF(G361=0,"Not Started",
IF(AND(F361&lt;&gt;"",ISNUMBER(F361),F361&lt;TODAY()),"Delayed","In Progress")
)
)
)</f>
        <v/>
      </c>
      <c r="I361" s="76"/>
      <c r="J361" s="76"/>
      <c r="K361" s="76"/>
      <c r="L361" s="76"/>
      <c r="M361" s="80"/>
      <c r="N361" s="96"/>
    </row>
    <row r="362" customFormat="false" ht="22.5" hidden="false" customHeight="true" outlineLevel="0" collapsed="false">
      <c r="A362" s="94"/>
      <c r="B362" s="95"/>
      <c r="C362" s="84"/>
      <c r="D362" s="76"/>
      <c r="E362" s="77"/>
      <c r="F362" s="77"/>
      <c r="G362" s="78"/>
      <c r="H362" s="76" t="str">
        <f aca="true">IF(G362="","",IF(G362=1,"Completed",
IF(G362=0,"Not Started",
IF(AND(F362&lt;&gt;"",ISNUMBER(F362),F362&lt;TODAY()),"Delayed","In Progress")
)
)
)</f>
        <v/>
      </c>
      <c r="I362" s="76"/>
      <c r="J362" s="76"/>
      <c r="K362" s="76"/>
      <c r="L362" s="76"/>
      <c r="M362" s="80"/>
      <c r="N362" s="96"/>
    </row>
    <row r="363" customFormat="false" ht="22.5" hidden="false" customHeight="true" outlineLevel="0" collapsed="false">
      <c r="A363" s="94"/>
      <c r="B363" s="95"/>
      <c r="C363" s="84"/>
      <c r="D363" s="76"/>
      <c r="E363" s="77"/>
      <c r="F363" s="77"/>
      <c r="G363" s="78"/>
      <c r="H363" s="76" t="str">
        <f aca="true">IF(G363="","",IF(G363=1,"Completed",
IF(G363=0,"Not Started",
IF(AND(F363&lt;&gt;"",ISNUMBER(F363),F363&lt;TODAY()),"Delayed","In Progress")
)
)
)</f>
        <v/>
      </c>
      <c r="I363" s="76"/>
      <c r="J363" s="76"/>
      <c r="K363" s="76"/>
      <c r="L363" s="76"/>
      <c r="M363" s="80"/>
      <c r="N363" s="96"/>
    </row>
    <row r="364" customFormat="false" ht="22.5" hidden="false" customHeight="true" outlineLevel="0" collapsed="false">
      <c r="A364" s="94"/>
      <c r="B364" s="95"/>
      <c r="C364" s="84"/>
      <c r="D364" s="76"/>
      <c r="E364" s="77"/>
      <c r="F364" s="77"/>
      <c r="G364" s="78"/>
      <c r="H364" s="76" t="str">
        <f aca="true">IF(G364="","",IF(G364=1,"Completed",
IF(G364=0,"Not Started",
IF(AND(F364&lt;&gt;"",ISNUMBER(F364),F364&lt;TODAY()),"Delayed","In Progress")
)
)
)</f>
        <v/>
      </c>
      <c r="I364" s="76"/>
      <c r="J364" s="76"/>
      <c r="K364" s="76"/>
      <c r="L364" s="76"/>
      <c r="M364" s="80"/>
      <c r="N364" s="96"/>
    </row>
    <row r="365" customFormat="false" ht="22.5" hidden="false" customHeight="true" outlineLevel="0" collapsed="false">
      <c r="A365" s="94"/>
      <c r="B365" s="95"/>
      <c r="C365" s="84"/>
      <c r="D365" s="76"/>
      <c r="E365" s="77"/>
      <c r="F365" s="77"/>
      <c r="G365" s="78"/>
      <c r="H365" s="76" t="str">
        <f aca="true">IF(G365="","",IF(G365=1,"Completed",
IF(G365=0,"Not Started",
IF(AND(F365&lt;&gt;"",ISNUMBER(F365),F365&lt;TODAY()),"Delayed","In Progress")
)
)
)</f>
        <v/>
      </c>
      <c r="I365" s="76"/>
      <c r="J365" s="76"/>
      <c r="K365" s="76"/>
      <c r="L365" s="76"/>
      <c r="M365" s="80"/>
      <c r="N365" s="96"/>
    </row>
    <row r="366" customFormat="false" ht="22.5" hidden="false" customHeight="true" outlineLevel="0" collapsed="false">
      <c r="A366" s="94"/>
      <c r="B366" s="95"/>
      <c r="C366" s="84"/>
      <c r="D366" s="76"/>
      <c r="E366" s="77"/>
      <c r="F366" s="77"/>
      <c r="G366" s="78"/>
      <c r="H366" s="76" t="str">
        <f aca="true">IF(G366="","",IF(G366=1,"Completed",
IF(G366=0,"Not Started",
IF(AND(F366&lt;&gt;"",ISNUMBER(F366),F366&lt;TODAY()),"Delayed","In Progress")
)
)
)</f>
        <v/>
      </c>
      <c r="I366" s="76"/>
      <c r="J366" s="76"/>
      <c r="K366" s="76"/>
      <c r="L366" s="76"/>
      <c r="M366" s="80"/>
      <c r="N366" s="96"/>
    </row>
    <row r="367" customFormat="false" ht="22.5" hidden="false" customHeight="true" outlineLevel="0" collapsed="false">
      <c r="A367" s="94"/>
      <c r="B367" s="95"/>
      <c r="C367" s="84"/>
      <c r="D367" s="76"/>
      <c r="E367" s="77"/>
      <c r="F367" s="77"/>
      <c r="G367" s="78"/>
      <c r="H367" s="76" t="str">
        <f aca="true">IF(G367="","",IF(G367=1,"Completed",
IF(G367=0,"Not Started",
IF(AND(F367&lt;&gt;"",ISNUMBER(F367),F367&lt;TODAY()),"Delayed","In Progress")
)
)
)</f>
        <v/>
      </c>
      <c r="I367" s="76"/>
      <c r="J367" s="76"/>
      <c r="K367" s="76"/>
      <c r="L367" s="76"/>
      <c r="M367" s="80"/>
      <c r="N367" s="96"/>
    </row>
    <row r="368" customFormat="false" ht="22.5" hidden="false" customHeight="true" outlineLevel="0" collapsed="false">
      <c r="A368" s="94"/>
      <c r="B368" s="95"/>
      <c r="C368" s="84"/>
      <c r="D368" s="76"/>
      <c r="E368" s="77"/>
      <c r="F368" s="77"/>
      <c r="G368" s="78"/>
      <c r="H368" s="76" t="str">
        <f aca="true">IF(G368="","",IF(G368=1,"Completed",
IF(G368=0,"Not Started",
IF(AND(F368&lt;&gt;"",ISNUMBER(F368),F368&lt;TODAY()),"Delayed","In Progress")
)
)
)</f>
        <v/>
      </c>
      <c r="I368" s="76"/>
      <c r="J368" s="76"/>
      <c r="K368" s="76"/>
      <c r="L368" s="76"/>
      <c r="M368" s="80"/>
      <c r="N368" s="96"/>
    </row>
    <row r="369" customFormat="false" ht="22.5" hidden="false" customHeight="true" outlineLevel="0" collapsed="false">
      <c r="A369" s="94"/>
      <c r="B369" s="95"/>
      <c r="C369" s="84"/>
      <c r="D369" s="76"/>
      <c r="E369" s="77"/>
      <c r="F369" s="77"/>
      <c r="G369" s="78"/>
      <c r="H369" s="76" t="str">
        <f aca="true">IF(G369="","",IF(G369=1,"Completed",
IF(G369=0,"Not Started",
IF(AND(F369&lt;&gt;"",ISNUMBER(F369),F369&lt;TODAY()),"Delayed","In Progress")
)
)
)</f>
        <v/>
      </c>
      <c r="I369" s="76"/>
      <c r="J369" s="76"/>
      <c r="K369" s="76"/>
      <c r="L369" s="76"/>
      <c r="M369" s="80"/>
      <c r="N369" s="96"/>
    </row>
    <row r="370" customFormat="false" ht="22.5" hidden="false" customHeight="true" outlineLevel="0" collapsed="false">
      <c r="A370" s="94"/>
      <c r="B370" s="95"/>
      <c r="C370" s="84"/>
      <c r="D370" s="76"/>
      <c r="E370" s="77"/>
      <c r="F370" s="77"/>
      <c r="G370" s="78"/>
      <c r="H370" s="76" t="str">
        <f aca="true">IF(G370="","",IF(G370=1,"Completed",
IF(G370=0,"Not Started",
IF(AND(F370&lt;&gt;"",ISNUMBER(F370),F370&lt;TODAY()),"Delayed","In Progress")
)
)
)</f>
        <v/>
      </c>
      <c r="I370" s="76"/>
      <c r="J370" s="76"/>
      <c r="K370" s="76"/>
      <c r="L370" s="76"/>
      <c r="M370" s="80"/>
      <c r="N370" s="96"/>
    </row>
    <row r="371" customFormat="false" ht="22.5" hidden="false" customHeight="true" outlineLevel="0" collapsed="false">
      <c r="A371" s="94"/>
      <c r="B371" s="95"/>
      <c r="C371" s="84"/>
      <c r="D371" s="76"/>
      <c r="E371" s="77"/>
      <c r="F371" s="77"/>
      <c r="G371" s="78"/>
      <c r="H371" s="76" t="str">
        <f aca="true">IF(G371="","",IF(G371=1,"Completed",
IF(G371=0,"Not Started",
IF(AND(F371&lt;&gt;"",ISNUMBER(F371),F371&lt;TODAY()),"Delayed","In Progress")
)
)
)</f>
        <v/>
      </c>
      <c r="I371" s="76"/>
      <c r="J371" s="76"/>
      <c r="K371" s="76"/>
      <c r="L371" s="76"/>
      <c r="M371" s="80"/>
      <c r="N371" s="96"/>
    </row>
    <row r="372" customFormat="false" ht="22.5" hidden="false" customHeight="true" outlineLevel="0" collapsed="false">
      <c r="A372" s="94"/>
      <c r="B372" s="95"/>
      <c r="C372" s="84"/>
      <c r="D372" s="76"/>
      <c r="E372" s="77"/>
      <c r="F372" s="77"/>
      <c r="G372" s="78"/>
      <c r="H372" s="76" t="str">
        <f aca="true">IF(G372="","",IF(G372=1,"Completed",
IF(G372=0,"Not Started",
IF(AND(F372&lt;&gt;"",ISNUMBER(F372),F372&lt;TODAY()),"Delayed","In Progress")
)
)
)</f>
        <v/>
      </c>
      <c r="I372" s="76"/>
      <c r="J372" s="76"/>
      <c r="K372" s="76"/>
      <c r="L372" s="76"/>
      <c r="M372" s="80"/>
      <c r="N372" s="96"/>
    </row>
    <row r="373" customFormat="false" ht="22.5" hidden="false" customHeight="true" outlineLevel="0" collapsed="false">
      <c r="A373" s="94"/>
      <c r="B373" s="95"/>
      <c r="C373" s="84"/>
      <c r="D373" s="76"/>
      <c r="E373" s="77"/>
      <c r="F373" s="77"/>
      <c r="G373" s="78"/>
      <c r="H373" s="76" t="str">
        <f aca="true">IF(G373="","",IF(G373=1,"Completed",
IF(G373=0,"Not Started",
IF(AND(F373&lt;&gt;"",ISNUMBER(F373),F373&lt;TODAY()),"Delayed","In Progress")
)
)
)</f>
        <v/>
      </c>
      <c r="I373" s="76"/>
      <c r="J373" s="76"/>
      <c r="K373" s="76"/>
      <c r="L373" s="76"/>
      <c r="M373" s="80"/>
      <c r="N373" s="96"/>
    </row>
    <row r="374" customFormat="false" ht="22.5" hidden="false" customHeight="true" outlineLevel="0" collapsed="false">
      <c r="A374" s="94"/>
      <c r="B374" s="95"/>
      <c r="C374" s="84"/>
      <c r="D374" s="76"/>
      <c r="E374" s="77"/>
      <c r="F374" s="77"/>
      <c r="G374" s="78"/>
      <c r="H374" s="76" t="str">
        <f aca="true">IF(G374="","",IF(G374=1,"Completed",
IF(G374=0,"Not Started",
IF(AND(F374&lt;&gt;"",ISNUMBER(F374),F374&lt;TODAY()),"Delayed","In Progress")
)
)
)</f>
        <v/>
      </c>
      <c r="I374" s="76"/>
      <c r="J374" s="76"/>
      <c r="K374" s="76"/>
      <c r="L374" s="76"/>
      <c r="M374" s="80"/>
      <c r="N374" s="96"/>
    </row>
    <row r="375" customFormat="false" ht="22.5" hidden="false" customHeight="true" outlineLevel="0" collapsed="false">
      <c r="A375" s="94"/>
      <c r="B375" s="95"/>
      <c r="C375" s="84"/>
      <c r="D375" s="76"/>
      <c r="E375" s="77"/>
      <c r="F375" s="77"/>
      <c r="G375" s="78"/>
      <c r="H375" s="76" t="str">
        <f aca="true">IF(G375="","",IF(G375=1,"Completed",
IF(G375=0,"Not Started",
IF(AND(F375&lt;&gt;"",ISNUMBER(F375),F375&lt;TODAY()),"Delayed","In Progress")
)
)
)</f>
        <v/>
      </c>
      <c r="I375" s="76"/>
      <c r="J375" s="76"/>
      <c r="K375" s="76"/>
      <c r="L375" s="76"/>
      <c r="M375" s="80"/>
      <c r="N375" s="96"/>
    </row>
    <row r="376" customFormat="false" ht="22.5" hidden="false" customHeight="true" outlineLevel="0" collapsed="false">
      <c r="A376" s="94"/>
      <c r="B376" s="95"/>
      <c r="C376" s="84"/>
      <c r="D376" s="76"/>
      <c r="E376" s="77"/>
      <c r="F376" s="77"/>
      <c r="G376" s="78"/>
      <c r="H376" s="76" t="str">
        <f aca="true">IF(G376="","",IF(G376=1,"Completed",
IF(G376=0,"Not Started",
IF(AND(F376&lt;&gt;"",ISNUMBER(F376),F376&lt;TODAY()),"Delayed","In Progress")
)
)
)</f>
        <v/>
      </c>
      <c r="I376" s="76"/>
      <c r="J376" s="76"/>
      <c r="K376" s="76"/>
      <c r="L376" s="76"/>
      <c r="M376" s="80"/>
      <c r="N376" s="96"/>
    </row>
    <row r="377" customFormat="false" ht="22.5" hidden="false" customHeight="true" outlineLevel="0" collapsed="false">
      <c r="A377" s="94"/>
      <c r="B377" s="95"/>
      <c r="C377" s="84"/>
      <c r="D377" s="76"/>
      <c r="E377" s="77"/>
      <c r="F377" s="77"/>
      <c r="G377" s="78"/>
      <c r="H377" s="76" t="str">
        <f aca="true">IF(G377="","",IF(G377=1,"Completed",
IF(G377=0,"Not Started",
IF(AND(F377&lt;&gt;"",ISNUMBER(F377),F377&lt;TODAY()),"Delayed","In Progress")
)
)
)</f>
        <v/>
      </c>
      <c r="I377" s="76"/>
      <c r="J377" s="76"/>
      <c r="K377" s="76"/>
      <c r="L377" s="76"/>
      <c r="M377" s="80"/>
      <c r="N377" s="96"/>
    </row>
    <row r="378" customFormat="false" ht="22.5" hidden="false" customHeight="true" outlineLevel="0" collapsed="false">
      <c r="A378" s="94"/>
      <c r="B378" s="95"/>
      <c r="C378" s="84"/>
      <c r="D378" s="76"/>
      <c r="E378" s="77"/>
      <c r="F378" s="77"/>
      <c r="G378" s="78"/>
      <c r="H378" s="76" t="str">
        <f aca="true">IF(G378="","",IF(G378=1,"Completed",
IF(G378=0,"Not Started",
IF(AND(F378&lt;&gt;"",ISNUMBER(F378),F378&lt;TODAY()),"Delayed","In Progress")
)
)
)</f>
        <v/>
      </c>
      <c r="I378" s="76"/>
      <c r="J378" s="76"/>
      <c r="K378" s="76"/>
      <c r="L378" s="76"/>
      <c r="M378" s="80"/>
      <c r="N378" s="96"/>
    </row>
    <row r="379" customFormat="false" ht="22.5" hidden="false" customHeight="true" outlineLevel="0" collapsed="false">
      <c r="A379" s="94"/>
      <c r="B379" s="95"/>
      <c r="C379" s="84"/>
      <c r="D379" s="76"/>
      <c r="E379" s="77"/>
      <c r="F379" s="77"/>
      <c r="G379" s="78"/>
      <c r="H379" s="76" t="str">
        <f aca="true">IF(G379="","",IF(G379=1,"Completed",
IF(G379=0,"Not Started",
IF(AND(F379&lt;&gt;"",ISNUMBER(F379),F379&lt;TODAY()),"Delayed","In Progress")
)
)
)</f>
        <v/>
      </c>
      <c r="I379" s="76"/>
      <c r="J379" s="76"/>
      <c r="K379" s="76"/>
      <c r="L379" s="76"/>
      <c r="M379" s="80"/>
      <c r="N379" s="96"/>
    </row>
    <row r="380" customFormat="false" ht="22.5" hidden="false" customHeight="true" outlineLevel="0" collapsed="false">
      <c r="A380" s="94"/>
      <c r="B380" s="95"/>
      <c r="C380" s="84"/>
      <c r="D380" s="76"/>
      <c r="E380" s="77"/>
      <c r="F380" s="77"/>
      <c r="G380" s="78"/>
      <c r="H380" s="76" t="str">
        <f aca="true">IF(G380="","",IF(G380=1,"Completed",
IF(G380=0,"Not Started",
IF(AND(F380&lt;&gt;"",ISNUMBER(F380),F380&lt;TODAY()),"Delayed","In Progress")
)
)
)</f>
        <v/>
      </c>
      <c r="I380" s="76"/>
      <c r="J380" s="76"/>
      <c r="K380" s="76"/>
      <c r="L380" s="76"/>
      <c r="M380" s="80"/>
      <c r="N380" s="96"/>
    </row>
    <row r="381" customFormat="false" ht="22.5" hidden="false" customHeight="true" outlineLevel="0" collapsed="false">
      <c r="A381" s="94"/>
      <c r="B381" s="95"/>
      <c r="C381" s="84"/>
      <c r="D381" s="76"/>
      <c r="E381" s="77"/>
      <c r="F381" s="77"/>
      <c r="G381" s="78"/>
      <c r="H381" s="76" t="str">
        <f aca="true">IF(G381="","",IF(G381=1,"Completed",
IF(G381=0,"Not Started",
IF(AND(F381&lt;&gt;"",ISNUMBER(F381),F381&lt;TODAY()),"Delayed","In Progress")
)
)
)</f>
        <v/>
      </c>
      <c r="I381" s="76"/>
      <c r="J381" s="76"/>
      <c r="K381" s="76"/>
      <c r="L381" s="76"/>
      <c r="M381" s="80"/>
      <c r="N381" s="96"/>
    </row>
    <row r="382" customFormat="false" ht="22.5" hidden="false" customHeight="true" outlineLevel="0" collapsed="false">
      <c r="A382" s="94"/>
      <c r="B382" s="95"/>
      <c r="C382" s="84"/>
      <c r="D382" s="76"/>
      <c r="E382" s="77"/>
      <c r="F382" s="77"/>
      <c r="G382" s="78"/>
      <c r="H382" s="76" t="str">
        <f aca="true">IF(G382="","",IF(G382=1,"Completed",
IF(G382=0,"Not Started",
IF(AND(F382&lt;&gt;"",ISNUMBER(F382),F382&lt;TODAY()),"Delayed","In Progress")
)
)
)</f>
        <v/>
      </c>
      <c r="I382" s="76"/>
      <c r="J382" s="76"/>
      <c r="K382" s="76"/>
      <c r="L382" s="76"/>
      <c r="M382" s="80"/>
      <c r="N382" s="96"/>
    </row>
    <row r="383" customFormat="false" ht="22.5" hidden="false" customHeight="true" outlineLevel="0" collapsed="false">
      <c r="A383" s="94"/>
      <c r="B383" s="95"/>
      <c r="C383" s="84"/>
      <c r="D383" s="76"/>
      <c r="E383" s="77"/>
      <c r="F383" s="77"/>
      <c r="G383" s="78"/>
      <c r="H383" s="76" t="str">
        <f aca="true">IF(G383="","",IF(G383=1,"Completed",
IF(G383=0,"Not Started",
IF(AND(F383&lt;&gt;"",ISNUMBER(F383),F383&lt;TODAY()),"Delayed","In Progress")
)
)
)</f>
        <v/>
      </c>
      <c r="I383" s="76"/>
      <c r="J383" s="76"/>
      <c r="K383" s="76"/>
      <c r="L383" s="76"/>
      <c r="M383" s="80"/>
      <c r="N383" s="96"/>
    </row>
    <row r="384" customFormat="false" ht="22.5" hidden="false" customHeight="true" outlineLevel="0" collapsed="false">
      <c r="A384" s="94"/>
      <c r="B384" s="95"/>
      <c r="C384" s="84"/>
      <c r="D384" s="76"/>
      <c r="E384" s="77"/>
      <c r="F384" s="77"/>
      <c r="G384" s="78"/>
      <c r="H384" s="76" t="str">
        <f aca="true">IF(G384="","",IF(G384=1,"Completed",
IF(G384=0,"Not Started",
IF(AND(F384&lt;&gt;"",ISNUMBER(F384),F384&lt;TODAY()),"Delayed","In Progress")
)
)
)</f>
        <v/>
      </c>
      <c r="I384" s="76"/>
      <c r="J384" s="76"/>
      <c r="K384" s="76"/>
      <c r="L384" s="76"/>
      <c r="M384" s="80"/>
      <c r="N384" s="96"/>
    </row>
    <row r="385" customFormat="false" ht="22.5" hidden="false" customHeight="true" outlineLevel="0" collapsed="false">
      <c r="A385" s="94"/>
      <c r="B385" s="95"/>
      <c r="C385" s="84"/>
      <c r="D385" s="76"/>
      <c r="E385" s="77"/>
      <c r="F385" s="77"/>
      <c r="G385" s="78"/>
      <c r="H385" s="76" t="str">
        <f aca="true">IF(G385="","",IF(G385=1,"Completed",
IF(G385=0,"Not Started",
IF(AND(F385&lt;&gt;"",ISNUMBER(F385),F385&lt;TODAY()),"Delayed","In Progress")
)
)
)</f>
        <v/>
      </c>
      <c r="I385" s="76"/>
      <c r="J385" s="76"/>
      <c r="K385" s="76"/>
      <c r="L385" s="76"/>
      <c r="M385" s="80"/>
      <c r="N385" s="96"/>
    </row>
    <row r="386" customFormat="false" ht="22.5" hidden="false" customHeight="true" outlineLevel="0" collapsed="false">
      <c r="A386" s="94"/>
      <c r="B386" s="95"/>
      <c r="C386" s="84"/>
      <c r="D386" s="76"/>
      <c r="E386" s="77"/>
      <c r="F386" s="77"/>
      <c r="G386" s="78"/>
      <c r="H386" s="76" t="str">
        <f aca="true">IF(G386="","",IF(G386=1,"Completed",
IF(G386=0,"Not Started",
IF(AND(F386&lt;&gt;"",ISNUMBER(F386),F386&lt;TODAY()),"Delayed","In Progress")
)
)
)</f>
        <v/>
      </c>
      <c r="I386" s="76"/>
      <c r="J386" s="76"/>
      <c r="K386" s="76"/>
      <c r="L386" s="76"/>
      <c r="M386" s="80"/>
      <c r="N386" s="96"/>
    </row>
    <row r="387" customFormat="false" ht="22.5" hidden="false" customHeight="true" outlineLevel="0" collapsed="false">
      <c r="A387" s="94"/>
      <c r="B387" s="95"/>
      <c r="C387" s="84"/>
      <c r="D387" s="76"/>
      <c r="E387" s="77"/>
      <c r="F387" s="77"/>
      <c r="G387" s="78"/>
      <c r="H387" s="76" t="str">
        <f aca="true">IF(G387="","",IF(G387=1,"Completed",
IF(G387=0,"Not Started",
IF(AND(F387&lt;&gt;"",ISNUMBER(F387),F387&lt;TODAY()),"Delayed","In Progress")
)
)
)</f>
        <v/>
      </c>
      <c r="I387" s="76"/>
      <c r="J387" s="76"/>
      <c r="K387" s="76"/>
      <c r="L387" s="76"/>
      <c r="M387" s="80"/>
      <c r="N387" s="96"/>
    </row>
    <row r="388" customFormat="false" ht="22.5" hidden="false" customHeight="true" outlineLevel="0" collapsed="false">
      <c r="A388" s="94"/>
      <c r="B388" s="95"/>
      <c r="C388" s="84"/>
      <c r="D388" s="76"/>
      <c r="E388" s="77"/>
      <c r="F388" s="77"/>
      <c r="G388" s="78"/>
      <c r="H388" s="76" t="str">
        <f aca="true">IF(G388="","",IF(G388=1,"Completed",
IF(G388=0,"Not Started",
IF(AND(F388&lt;&gt;"",ISNUMBER(F388),F388&lt;TODAY()),"Delayed","In Progress")
)
)
)</f>
        <v/>
      </c>
      <c r="I388" s="76"/>
      <c r="J388" s="76"/>
      <c r="K388" s="76"/>
      <c r="L388" s="76"/>
      <c r="M388" s="80"/>
      <c r="N388" s="96"/>
    </row>
    <row r="389" customFormat="false" ht="22.5" hidden="false" customHeight="true" outlineLevel="0" collapsed="false">
      <c r="A389" s="94"/>
      <c r="B389" s="95"/>
      <c r="C389" s="84"/>
      <c r="D389" s="76"/>
      <c r="E389" s="77"/>
      <c r="F389" s="77"/>
      <c r="G389" s="78"/>
      <c r="H389" s="76" t="str">
        <f aca="true">IF(G389="","",IF(G389=1,"Completed",
IF(G389=0,"Not Started",
IF(AND(F389&lt;&gt;"",ISNUMBER(F389),F389&lt;TODAY()),"Delayed","In Progress")
)
)
)</f>
        <v/>
      </c>
      <c r="I389" s="76"/>
      <c r="J389" s="76"/>
      <c r="K389" s="76"/>
      <c r="L389" s="76"/>
      <c r="M389" s="80"/>
      <c r="N389" s="96"/>
    </row>
    <row r="390" customFormat="false" ht="22.5" hidden="false" customHeight="true" outlineLevel="0" collapsed="false">
      <c r="A390" s="94"/>
      <c r="B390" s="95"/>
      <c r="C390" s="84"/>
      <c r="D390" s="76"/>
      <c r="E390" s="77"/>
      <c r="F390" s="77"/>
      <c r="G390" s="78"/>
      <c r="H390" s="76" t="str">
        <f aca="true">IF(G390="","",IF(G390=1,"Completed",
  IF(G390=0,"Not Started",
   IF(AND(F390&lt;&gt;"",ISNUMBER(F390),F390&lt;TODAY()),"Delayed","In Progress")
  )
 )
)</f>
        <v/>
      </c>
      <c r="I390" s="76"/>
      <c r="J390" s="76"/>
      <c r="K390" s="76"/>
      <c r="L390" s="76"/>
      <c r="M390" s="80"/>
      <c r="N390" s="96"/>
    </row>
    <row r="391" customFormat="false" ht="22.5" hidden="false" customHeight="true" outlineLevel="0" collapsed="false">
      <c r="A391" s="94"/>
      <c r="B391" s="95"/>
      <c r="C391" s="84"/>
      <c r="D391" s="76"/>
      <c r="E391" s="77"/>
      <c r="F391" s="77"/>
      <c r="G391" s="78"/>
      <c r="H391" s="76" t="str">
        <f aca="true">IF(G391="","",IF(G391=1,"Completed",
IF(G391=0,"Not Started",
IF(AND(F391&lt;&gt;"",ISNUMBER(F391),F391&lt;TODAY()),"Delayed","In Progress")
)
)
)</f>
        <v/>
      </c>
      <c r="I391" s="76"/>
      <c r="J391" s="76"/>
      <c r="K391" s="76"/>
      <c r="L391" s="76"/>
      <c r="M391" s="80"/>
      <c r="N391" s="96"/>
    </row>
    <row r="392" customFormat="false" ht="22.5" hidden="false" customHeight="true" outlineLevel="0" collapsed="false">
      <c r="A392" s="94"/>
      <c r="B392" s="95"/>
      <c r="C392" s="84"/>
      <c r="D392" s="76"/>
      <c r="E392" s="77"/>
      <c r="F392" s="77"/>
      <c r="G392" s="78"/>
      <c r="H392" s="76" t="str">
        <f aca="true">IF(G392="","",IF(G392=1,"Completed",
IF(G392=0,"Not Started",
IF(AND(F392&lt;&gt;"",ISNUMBER(F392),F392&lt;TODAY()),"Delayed","In Progress")
)
)
)</f>
        <v/>
      </c>
      <c r="I392" s="76"/>
      <c r="J392" s="76"/>
      <c r="K392" s="76"/>
      <c r="L392" s="76"/>
      <c r="M392" s="80"/>
      <c r="N392" s="96"/>
    </row>
    <row r="393" customFormat="false" ht="22.5" hidden="false" customHeight="true" outlineLevel="0" collapsed="false">
      <c r="A393" s="94"/>
      <c r="B393" s="95"/>
      <c r="C393" s="84"/>
      <c r="D393" s="76"/>
      <c r="E393" s="77"/>
      <c r="F393" s="77"/>
      <c r="G393" s="78"/>
      <c r="H393" s="76" t="str">
        <f aca="true">IF(G393="","",IF(G393=1,"Completed",
IF(G393=0,"Not Started",
IF(AND(F393&lt;&gt;"",ISNUMBER(F393),F393&lt;TODAY()),"Delayed","In Progress")
)
)
)</f>
        <v/>
      </c>
      <c r="I393" s="76"/>
      <c r="J393" s="76"/>
      <c r="K393" s="76"/>
      <c r="L393" s="76"/>
      <c r="M393" s="80"/>
      <c r="N393" s="96"/>
    </row>
    <row r="394" customFormat="false" ht="22.5" hidden="false" customHeight="true" outlineLevel="0" collapsed="false">
      <c r="A394" s="94"/>
      <c r="B394" s="95"/>
      <c r="C394" s="84"/>
      <c r="D394" s="76"/>
      <c r="E394" s="77"/>
      <c r="F394" s="77"/>
      <c r="G394" s="78"/>
      <c r="H394" s="76" t="str">
        <f aca="true">IF(G394="","",IF(G394=1,"Completed",
IF(G394=0,"Not Started",
IF(AND(F394&lt;&gt;"",ISNUMBER(F394),F394&lt;TODAY()),"Delayed","In Progress")
)
)
)</f>
        <v/>
      </c>
      <c r="I394" s="76"/>
      <c r="J394" s="76"/>
      <c r="K394" s="76"/>
      <c r="L394" s="76"/>
      <c r="M394" s="80"/>
      <c r="N394" s="96"/>
    </row>
    <row r="395" customFormat="false" ht="22.5" hidden="false" customHeight="true" outlineLevel="0" collapsed="false">
      <c r="A395" s="94"/>
      <c r="B395" s="95"/>
      <c r="C395" s="84"/>
      <c r="D395" s="76"/>
      <c r="E395" s="77"/>
      <c r="F395" s="77"/>
      <c r="G395" s="78"/>
      <c r="H395" s="76" t="str">
        <f aca="true">IF(G395="","",IF(G395=1,"Completed",
IF(G395=0,"Not Started",
IF(AND(F395&lt;&gt;"",ISNUMBER(F395),F395&lt;TODAY()),"Delayed","In Progress")
)
)
)</f>
        <v/>
      </c>
      <c r="I395" s="76"/>
      <c r="J395" s="76"/>
      <c r="K395" s="76"/>
      <c r="L395" s="76"/>
      <c r="M395" s="80"/>
      <c r="N395" s="96"/>
    </row>
    <row r="396" customFormat="false" ht="22.5" hidden="false" customHeight="true" outlineLevel="0" collapsed="false">
      <c r="A396" s="94"/>
      <c r="B396" s="95"/>
      <c r="C396" s="84"/>
      <c r="D396" s="76"/>
      <c r="E396" s="77"/>
      <c r="F396" s="77"/>
      <c r="G396" s="78"/>
      <c r="H396" s="76" t="str">
        <f aca="true">IF(G396="","",IF(G396=1,"Completed",
IF(G396=0,"Not Started",
IF(AND(F396&lt;&gt;"",ISNUMBER(F396),F396&lt;TODAY()),"Delayed","In Progress")
)
)
)</f>
        <v/>
      </c>
      <c r="I396" s="76"/>
      <c r="J396" s="76"/>
      <c r="K396" s="76"/>
      <c r="L396" s="76"/>
      <c r="M396" s="80"/>
      <c r="N396" s="96"/>
    </row>
    <row r="397" customFormat="false" ht="22.5" hidden="false" customHeight="true" outlineLevel="0" collapsed="false">
      <c r="A397" s="94"/>
      <c r="B397" s="95"/>
      <c r="C397" s="84"/>
      <c r="D397" s="76"/>
      <c r="E397" s="77"/>
      <c r="F397" s="77"/>
      <c r="G397" s="78"/>
      <c r="H397" s="76" t="str">
        <f aca="true">IF(G397="","",IF(G397=1,"Completed",
IF(G397=0,"Not Started",
IF(AND(F397&lt;&gt;"",ISNUMBER(F397),F397&lt;TODAY()),"Delayed","In Progress")
)
)
)</f>
        <v/>
      </c>
      <c r="I397" s="76"/>
      <c r="J397" s="76"/>
      <c r="K397" s="76"/>
      <c r="L397" s="76"/>
      <c r="M397" s="80"/>
      <c r="N397" s="96"/>
    </row>
    <row r="398" customFormat="false" ht="22.5" hidden="false" customHeight="true" outlineLevel="0" collapsed="false">
      <c r="A398" s="94"/>
      <c r="B398" s="95"/>
      <c r="C398" s="84"/>
      <c r="D398" s="76"/>
      <c r="E398" s="77"/>
      <c r="F398" s="77"/>
      <c r="G398" s="78"/>
      <c r="H398" s="76" t="str">
        <f aca="true">IF(G398="","",IF(G398=1,"Completed",
IF(G398=0,"Not Started",
IF(AND(F398&lt;&gt;"",ISNUMBER(F398),F398&lt;TODAY()),"Delayed","In Progress")
)
)
)</f>
        <v/>
      </c>
      <c r="I398" s="76"/>
      <c r="J398" s="76"/>
      <c r="K398" s="76"/>
      <c r="L398" s="76"/>
      <c r="M398" s="80"/>
      <c r="N398" s="96"/>
    </row>
    <row r="399" customFormat="false" ht="22.5" hidden="false" customHeight="true" outlineLevel="0" collapsed="false">
      <c r="A399" s="94"/>
      <c r="B399" s="95"/>
      <c r="C399" s="84"/>
      <c r="D399" s="76"/>
      <c r="E399" s="77"/>
      <c r="F399" s="77"/>
      <c r="G399" s="78"/>
      <c r="H399" s="76" t="str">
        <f aca="true">IF(G399="","",IF(G399=1,"Completed",
IF(G399=0,"Not Started",
IF(AND(F399&lt;&gt;"",ISNUMBER(F399),F399&lt;TODAY()),"Delayed","In Progress")
)
)
)</f>
        <v/>
      </c>
      <c r="I399" s="76"/>
      <c r="J399" s="76"/>
      <c r="K399" s="76"/>
      <c r="L399" s="76"/>
      <c r="M399" s="80"/>
      <c r="N399" s="96"/>
    </row>
    <row r="400" customFormat="false" ht="22.5" hidden="false" customHeight="true" outlineLevel="0" collapsed="false">
      <c r="A400" s="94"/>
      <c r="B400" s="95"/>
      <c r="C400" s="84"/>
      <c r="D400" s="76"/>
      <c r="E400" s="77"/>
      <c r="F400" s="77"/>
      <c r="G400" s="78"/>
      <c r="H400" s="76" t="str">
        <f aca="true">IF(G400="","",IF(G400=1,"Completed",
IF(G400=0,"Not Started",
IF(AND(F400&lt;&gt;"",ISNUMBER(F400),F400&lt;TODAY()),"Delayed","In Progress")
)
)
)</f>
        <v/>
      </c>
      <c r="I400" s="76"/>
      <c r="J400" s="76"/>
      <c r="K400" s="76"/>
      <c r="L400" s="76"/>
      <c r="M400" s="80"/>
      <c r="N400" s="96"/>
    </row>
    <row r="401" customFormat="false" ht="22.5" hidden="false" customHeight="true" outlineLevel="0" collapsed="false">
      <c r="A401" s="94"/>
      <c r="B401" s="95"/>
      <c r="C401" s="84"/>
      <c r="D401" s="76"/>
      <c r="E401" s="77"/>
      <c r="F401" s="77"/>
      <c r="G401" s="78"/>
      <c r="H401" s="76" t="str">
        <f aca="true">IF(G401="","",IF(G401=1,"Completed",
IF(G401=0,"Not Started",
IF(AND(F401&lt;&gt;"",ISNUMBER(F401),F401&lt;TODAY()),"Delayed","In Progress")
)
)
)</f>
        <v/>
      </c>
      <c r="I401" s="76"/>
      <c r="J401" s="76"/>
      <c r="K401" s="76"/>
      <c r="L401" s="76"/>
      <c r="M401" s="80"/>
      <c r="N401" s="96"/>
    </row>
    <row r="402" customFormat="false" ht="22.5" hidden="false" customHeight="true" outlineLevel="0" collapsed="false">
      <c r="A402" s="94"/>
      <c r="B402" s="95"/>
      <c r="C402" s="84"/>
      <c r="D402" s="76"/>
      <c r="E402" s="77"/>
      <c r="F402" s="77"/>
      <c r="G402" s="78"/>
      <c r="H402" s="76" t="str">
        <f aca="true">IF(G402="","",IF(G402=1,"Completed",
IF(G402=0,"Not Started",
IF(AND(F402&lt;&gt;"",ISNUMBER(F402),F402&lt;TODAY()),"Delayed","In Progress")
)
)
)</f>
        <v/>
      </c>
      <c r="I402" s="76"/>
      <c r="J402" s="76"/>
      <c r="K402" s="76"/>
      <c r="L402" s="76"/>
      <c r="M402" s="80"/>
      <c r="N402" s="96"/>
    </row>
    <row r="403" customFormat="false" ht="22.5" hidden="false" customHeight="true" outlineLevel="0" collapsed="false">
      <c r="A403" s="94"/>
      <c r="B403" s="95"/>
      <c r="C403" s="84"/>
      <c r="D403" s="76"/>
      <c r="E403" s="77"/>
      <c r="F403" s="77"/>
      <c r="G403" s="78"/>
      <c r="H403" s="76" t="str">
        <f aca="true">IF(G403="","",IF(G403=1,"Completed",
IF(G403=0,"Not Started",
IF(AND(F403&lt;&gt;"",ISNUMBER(F403),F403&lt;TODAY()),"Delayed","In Progress")
)
)
)</f>
        <v/>
      </c>
      <c r="I403" s="76"/>
      <c r="J403" s="76"/>
      <c r="K403" s="76"/>
      <c r="L403" s="76"/>
      <c r="M403" s="80"/>
      <c r="N403" s="96"/>
    </row>
    <row r="404" customFormat="false" ht="22.5" hidden="false" customHeight="true" outlineLevel="0" collapsed="false">
      <c r="A404" s="94"/>
      <c r="B404" s="95"/>
      <c r="C404" s="84"/>
      <c r="D404" s="76"/>
      <c r="E404" s="77"/>
      <c r="F404" s="77"/>
      <c r="G404" s="78"/>
      <c r="H404" s="76" t="str">
        <f aca="true">IF(G404="","",IF(G404=1,"Completed",
IF(G404=0,"Not Started",
IF(AND(F404&lt;&gt;"",ISNUMBER(F404),F404&lt;TODAY()),"Delayed","In Progress")
)
)
)</f>
        <v/>
      </c>
      <c r="I404" s="76"/>
      <c r="J404" s="76"/>
      <c r="K404" s="76"/>
      <c r="L404" s="76"/>
      <c r="M404" s="80"/>
      <c r="N404" s="96"/>
    </row>
    <row r="405" customFormat="false" ht="22.5" hidden="false" customHeight="true" outlineLevel="0" collapsed="false">
      <c r="A405" s="94"/>
      <c r="B405" s="95"/>
      <c r="C405" s="84"/>
      <c r="D405" s="76"/>
      <c r="E405" s="77"/>
      <c r="F405" s="77"/>
      <c r="G405" s="78"/>
      <c r="H405" s="76" t="str">
        <f aca="true">IF(G405="","",IF(G405=1,"Completed",
IF(G405=0,"Not Started",
IF(AND(F405&lt;&gt;"",ISNUMBER(F405),F405&lt;TODAY()),"Delayed","In Progress")
)
)
)</f>
        <v/>
      </c>
      <c r="I405" s="76"/>
      <c r="J405" s="76"/>
      <c r="K405" s="76"/>
      <c r="L405" s="76"/>
      <c r="M405" s="80"/>
      <c r="N405" s="96"/>
    </row>
    <row r="406" customFormat="false" ht="22.5" hidden="false" customHeight="true" outlineLevel="0" collapsed="false">
      <c r="A406" s="94"/>
      <c r="B406" s="95"/>
      <c r="C406" s="84"/>
      <c r="D406" s="76"/>
      <c r="E406" s="77"/>
      <c r="F406" s="77"/>
      <c r="G406" s="78"/>
      <c r="H406" s="76" t="str">
        <f aca="true">IF(G406="","",IF(G406=1,"Completed",
IF(G406=0,"Not Started",
IF(AND(F406&lt;&gt;"",ISNUMBER(F406),F406&lt;TODAY()),"Delayed","In Progress")
)
)
)</f>
        <v/>
      </c>
      <c r="I406" s="76"/>
      <c r="J406" s="76"/>
      <c r="K406" s="76"/>
      <c r="L406" s="76"/>
      <c r="M406" s="80"/>
      <c r="N406" s="96"/>
    </row>
    <row r="407" customFormat="false" ht="22.5" hidden="false" customHeight="true" outlineLevel="0" collapsed="false">
      <c r="A407" s="94"/>
      <c r="B407" s="95"/>
      <c r="C407" s="84"/>
      <c r="D407" s="76"/>
      <c r="E407" s="77"/>
      <c r="F407" s="77"/>
      <c r="G407" s="78"/>
      <c r="H407" s="76" t="str">
        <f aca="true">IF(G407="","",IF(G407=1,"Completed",
IF(G407=0,"Not Started",
IF(AND(F407&lt;&gt;"",ISNUMBER(F407),F407&lt;TODAY()),"Delayed","In Progress")
)
)
)</f>
        <v/>
      </c>
      <c r="I407" s="76"/>
      <c r="J407" s="76"/>
      <c r="K407" s="76"/>
      <c r="L407" s="76"/>
      <c r="M407" s="80"/>
      <c r="N407" s="96"/>
    </row>
    <row r="408" customFormat="false" ht="22.5" hidden="false" customHeight="true" outlineLevel="0" collapsed="false">
      <c r="A408" s="94"/>
      <c r="B408" s="95"/>
      <c r="C408" s="84"/>
      <c r="D408" s="76"/>
      <c r="E408" s="77"/>
      <c r="F408" s="77"/>
      <c r="G408" s="78"/>
      <c r="H408" s="76" t="str">
        <f aca="true">IF(G408="","",IF(G408=1,"Completed",
IF(G408=0,"Not Started",
IF(AND(F408&lt;&gt;"",ISNUMBER(F408),F408&lt;TODAY()),"Delayed","In Progress")
)
)
)</f>
        <v/>
      </c>
      <c r="I408" s="76"/>
      <c r="J408" s="76"/>
      <c r="K408" s="76"/>
      <c r="L408" s="76"/>
      <c r="M408" s="80"/>
      <c r="N408" s="96"/>
    </row>
    <row r="409" customFormat="false" ht="22.5" hidden="false" customHeight="true" outlineLevel="0" collapsed="false">
      <c r="A409" s="94"/>
      <c r="B409" s="95"/>
      <c r="C409" s="84"/>
      <c r="D409" s="76"/>
      <c r="E409" s="77"/>
      <c r="F409" s="77"/>
      <c r="G409" s="78"/>
      <c r="H409" s="76" t="str">
        <f aca="true">IF(G409="","",IF(G409=1,"Completed",
IF(G409=0,"Not Started",
IF(AND(F409&lt;&gt;"",ISNUMBER(F409),F409&lt;TODAY()),"Delayed","In Progress")
)
)
)</f>
        <v/>
      </c>
      <c r="I409" s="76"/>
      <c r="J409" s="76"/>
      <c r="K409" s="76"/>
      <c r="L409" s="76"/>
      <c r="M409" s="80"/>
      <c r="N409" s="96"/>
    </row>
    <row r="410" customFormat="false" ht="22.5" hidden="false" customHeight="true" outlineLevel="0" collapsed="false">
      <c r="A410" s="94"/>
      <c r="B410" s="95"/>
      <c r="C410" s="84"/>
      <c r="D410" s="76"/>
      <c r="E410" s="77"/>
      <c r="F410" s="77"/>
      <c r="G410" s="78"/>
      <c r="H410" s="76" t="str">
        <f aca="true">IF(G410="","",IF(G410=1,"Completed",
IF(G410=0,"Not Started",
IF(AND(F410&lt;&gt;"",ISNUMBER(F410),F410&lt;TODAY()),"Delayed","In Progress")
)
)
)</f>
        <v/>
      </c>
      <c r="I410" s="76"/>
      <c r="J410" s="76"/>
      <c r="K410" s="76"/>
      <c r="L410" s="76"/>
      <c r="M410" s="80"/>
      <c r="N410" s="96"/>
    </row>
    <row r="411" customFormat="false" ht="22.5" hidden="false" customHeight="true" outlineLevel="0" collapsed="false">
      <c r="A411" s="94"/>
      <c r="B411" s="95"/>
      <c r="C411" s="84"/>
      <c r="D411" s="76"/>
      <c r="E411" s="77"/>
      <c r="F411" s="77"/>
      <c r="G411" s="78"/>
      <c r="H411" s="76" t="str">
        <f aca="true">IF(G411="","",IF(G411=1,"Completed",
IF(G411=0,"Not Started",
IF(AND(F411&lt;&gt;"",ISNUMBER(F411),F411&lt;TODAY()),"Delayed","In Progress")
)
)
)</f>
        <v/>
      </c>
      <c r="I411" s="76"/>
      <c r="J411" s="76"/>
      <c r="K411" s="76"/>
      <c r="L411" s="76"/>
      <c r="M411" s="80"/>
      <c r="N411" s="96"/>
    </row>
    <row r="412" customFormat="false" ht="22.5" hidden="false" customHeight="true" outlineLevel="0" collapsed="false">
      <c r="A412" s="94"/>
      <c r="B412" s="95"/>
      <c r="C412" s="84"/>
      <c r="D412" s="76"/>
      <c r="E412" s="77"/>
      <c r="F412" s="77"/>
      <c r="G412" s="78"/>
      <c r="H412" s="76" t="str">
        <f aca="true">IF(G412="","",IF(G412=1,"Completed",
IF(G412=0,"Not Started",
IF(AND(F412&lt;&gt;"",ISNUMBER(F412),F412&lt;TODAY()),"Delayed","In Progress")
)
)
)</f>
        <v/>
      </c>
      <c r="I412" s="76"/>
      <c r="J412" s="76"/>
      <c r="K412" s="76"/>
      <c r="L412" s="76"/>
      <c r="M412" s="80"/>
      <c r="N412" s="96"/>
    </row>
    <row r="413" customFormat="false" ht="22.5" hidden="false" customHeight="true" outlineLevel="0" collapsed="false">
      <c r="A413" s="94"/>
      <c r="B413" s="95"/>
      <c r="C413" s="84"/>
      <c r="D413" s="76"/>
      <c r="E413" s="77"/>
      <c r="F413" s="77"/>
      <c r="G413" s="78"/>
      <c r="H413" s="76" t="str">
        <f aca="true">IF(G413="","",IF(G413=1,"Completed",
IF(G413=0,"Not Started",
IF(AND(F413&lt;&gt;"",ISNUMBER(F413),F413&lt;TODAY()),"Delayed","In Progress")
)
)
)</f>
        <v/>
      </c>
      <c r="I413" s="76"/>
      <c r="J413" s="76"/>
      <c r="K413" s="76"/>
      <c r="L413" s="76"/>
      <c r="M413" s="80"/>
      <c r="N413" s="96"/>
    </row>
    <row r="414" customFormat="false" ht="22.5" hidden="false" customHeight="true" outlineLevel="0" collapsed="false">
      <c r="A414" s="94"/>
      <c r="B414" s="95"/>
      <c r="C414" s="84"/>
      <c r="D414" s="76"/>
      <c r="E414" s="77"/>
      <c r="F414" s="77"/>
      <c r="G414" s="78"/>
      <c r="H414" s="76" t="str">
        <f aca="true">IF(G414="","",IF(G414=1,"Completed",
IF(G414=0,"Not Started",
IF(AND(F414&lt;&gt;"",ISNUMBER(F414),F414&lt;TODAY()),"Delayed","In Progress")
)
)
)</f>
        <v/>
      </c>
      <c r="I414" s="76"/>
      <c r="J414" s="76"/>
      <c r="K414" s="76"/>
      <c r="L414" s="76"/>
      <c r="M414" s="80"/>
      <c r="N414" s="96"/>
    </row>
    <row r="415" customFormat="false" ht="22.5" hidden="false" customHeight="true" outlineLevel="0" collapsed="false">
      <c r="A415" s="94"/>
      <c r="B415" s="95"/>
      <c r="C415" s="84"/>
      <c r="D415" s="76"/>
      <c r="E415" s="77"/>
      <c r="F415" s="77"/>
      <c r="G415" s="78"/>
      <c r="H415" s="76" t="str">
        <f aca="true">IF(G415="","",IF(G415=1,"Completed",
IF(G415=0,"Not Started",
IF(AND(F415&lt;&gt;"",ISNUMBER(F415),F415&lt;TODAY()),"Delayed","In Progress")
)
)
)</f>
        <v/>
      </c>
      <c r="I415" s="76"/>
      <c r="J415" s="76"/>
      <c r="K415" s="76"/>
      <c r="L415" s="76"/>
      <c r="M415" s="80"/>
      <c r="N415" s="96"/>
    </row>
    <row r="416" customFormat="false" ht="22.5" hidden="false" customHeight="true" outlineLevel="0" collapsed="false">
      <c r="A416" s="94"/>
      <c r="B416" s="95"/>
      <c r="C416" s="84"/>
      <c r="D416" s="76"/>
      <c r="E416" s="77"/>
      <c r="F416" s="77"/>
      <c r="G416" s="78"/>
      <c r="H416" s="76" t="str">
        <f aca="true">IF(G416="","",IF(G416=1,"Completed",
IF(G416=0,"Not Started",
IF(AND(F416&lt;&gt;"",ISNUMBER(F416),F416&lt;TODAY()),"Delayed","In Progress")
)
)
)</f>
        <v/>
      </c>
      <c r="I416" s="76"/>
      <c r="J416" s="76"/>
      <c r="K416" s="76"/>
      <c r="L416" s="76"/>
      <c r="M416" s="80"/>
      <c r="N416" s="96"/>
    </row>
    <row r="417" customFormat="false" ht="22.5" hidden="false" customHeight="true" outlineLevel="0" collapsed="false">
      <c r="A417" s="94"/>
      <c r="B417" s="95"/>
      <c r="C417" s="84"/>
      <c r="D417" s="76"/>
      <c r="E417" s="77"/>
      <c r="F417" s="77"/>
      <c r="G417" s="78"/>
      <c r="H417" s="76" t="str">
        <f aca="true">IF(G417="","",IF(G417=1,"Completed",
IF(G417=0,"Not Started",
IF(AND(F417&lt;&gt;"",ISNUMBER(F417),F417&lt;TODAY()),"Delayed","In Progress")
)
)
)</f>
        <v/>
      </c>
      <c r="I417" s="76"/>
      <c r="J417" s="76"/>
      <c r="K417" s="76"/>
      <c r="L417" s="76"/>
      <c r="M417" s="80"/>
      <c r="N417" s="96"/>
    </row>
    <row r="418" customFormat="false" ht="22.5" hidden="false" customHeight="true" outlineLevel="0" collapsed="false">
      <c r="A418" s="94"/>
      <c r="B418" s="95"/>
      <c r="C418" s="84"/>
      <c r="D418" s="76"/>
      <c r="E418" s="77"/>
      <c r="F418" s="77"/>
      <c r="G418" s="78"/>
      <c r="H418" s="76" t="str">
        <f aca="true">IF(G418="","",IF(G418=1,"Completed",
IF(G418=0,"Not Started",
IF(AND(F418&lt;&gt;"",ISNUMBER(F418),F418&lt;TODAY()),"Delayed","In Progress")
)
)
)</f>
        <v/>
      </c>
      <c r="I418" s="76"/>
      <c r="J418" s="76"/>
      <c r="K418" s="76"/>
      <c r="L418" s="76"/>
      <c r="M418" s="80"/>
      <c r="N418" s="96"/>
    </row>
    <row r="419" customFormat="false" ht="22.5" hidden="false" customHeight="true" outlineLevel="0" collapsed="false">
      <c r="A419" s="94"/>
      <c r="B419" s="95"/>
      <c r="C419" s="84"/>
      <c r="D419" s="76"/>
      <c r="E419" s="77"/>
      <c r="F419" s="77"/>
      <c r="G419" s="78"/>
      <c r="H419" s="76" t="str">
        <f aca="true">IF(G419="","",IF(G419=1,"Completed",
IF(G419=0,"Not Started",
IF(AND(F419&lt;&gt;"",ISNUMBER(F419),F419&lt;TODAY()),"Delayed","In Progress")
)
)
)</f>
        <v/>
      </c>
      <c r="I419" s="76"/>
      <c r="J419" s="76"/>
      <c r="K419" s="76"/>
      <c r="L419" s="76"/>
      <c r="M419" s="80"/>
      <c r="N419" s="96"/>
    </row>
    <row r="420" customFormat="false" ht="22.5" hidden="false" customHeight="true" outlineLevel="0" collapsed="false">
      <c r="A420" s="94"/>
      <c r="B420" s="95"/>
      <c r="C420" s="84"/>
      <c r="D420" s="76"/>
      <c r="E420" s="77"/>
      <c r="F420" s="77"/>
      <c r="G420" s="78"/>
      <c r="H420" s="76" t="str">
        <f aca="true">IF(G420="","",IF(G420=1,"Completed",
IF(G420=0,"Not Started",
IF(AND(F420&lt;&gt;"",ISNUMBER(F420),F420&lt;TODAY()),"Delayed","In Progress")
)
)
)</f>
        <v/>
      </c>
      <c r="I420" s="76"/>
      <c r="J420" s="76"/>
      <c r="K420" s="76"/>
      <c r="L420" s="76"/>
      <c r="M420" s="80"/>
      <c r="N420" s="96"/>
    </row>
    <row r="421" customFormat="false" ht="22.5" hidden="false" customHeight="true" outlineLevel="0" collapsed="false">
      <c r="A421" s="94"/>
      <c r="B421" s="95"/>
      <c r="C421" s="84"/>
      <c r="D421" s="76"/>
      <c r="E421" s="77"/>
      <c r="F421" s="77"/>
      <c r="G421" s="78"/>
      <c r="H421" s="76" t="str">
        <f aca="true">IF(G421="","",IF(G421=1,"Completed",
IF(G421=0,"Not Started",
IF(AND(F421&lt;&gt;"",ISNUMBER(F421),F421&lt;TODAY()),"Delayed","In Progress")
)
)
)</f>
        <v/>
      </c>
      <c r="I421" s="76"/>
      <c r="J421" s="76"/>
      <c r="K421" s="76"/>
      <c r="L421" s="76"/>
      <c r="M421" s="80"/>
      <c r="N421" s="96"/>
    </row>
    <row r="422" customFormat="false" ht="22.5" hidden="false" customHeight="true" outlineLevel="0" collapsed="false">
      <c r="A422" s="94"/>
      <c r="B422" s="95"/>
      <c r="C422" s="84"/>
      <c r="D422" s="76"/>
      <c r="E422" s="77"/>
      <c r="F422" s="77"/>
      <c r="G422" s="78"/>
      <c r="H422" s="76" t="str">
        <f aca="true">IF(G422="","",IF(G422=1,"Completed",
IF(G422=0,"Not Started",
IF(AND(F422&lt;&gt;"",ISNUMBER(F422),F422&lt;TODAY()),"Delayed","In Progress")
)
)
)</f>
        <v/>
      </c>
      <c r="I422" s="76"/>
      <c r="J422" s="76"/>
      <c r="K422" s="76"/>
      <c r="L422" s="76"/>
      <c r="M422" s="80"/>
      <c r="N422" s="96"/>
    </row>
    <row r="423" customFormat="false" ht="22.5" hidden="false" customHeight="true" outlineLevel="0" collapsed="false">
      <c r="A423" s="94"/>
      <c r="B423" s="95"/>
      <c r="C423" s="84"/>
      <c r="D423" s="76"/>
      <c r="E423" s="77"/>
      <c r="F423" s="77"/>
      <c r="G423" s="78"/>
      <c r="H423" s="76" t="str">
        <f aca="true">IF(G423="","",IF(G423=1,"Completed",
IF(G423=0,"Not Started",
IF(AND(F423&lt;&gt;"",ISNUMBER(F423),F423&lt;TODAY()),"Delayed","In Progress")
)
)
)</f>
        <v/>
      </c>
      <c r="I423" s="76"/>
      <c r="J423" s="76"/>
      <c r="K423" s="76"/>
      <c r="L423" s="76"/>
      <c r="M423" s="80"/>
      <c r="N423" s="96"/>
    </row>
    <row r="424" customFormat="false" ht="22.5" hidden="false" customHeight="true" outlineLevel="0" collapsed="false">
      <c r="A424" s="94"/>
      <c r="B424" s="95"/>
      <c r="C424" s="84"/>
      <c r="D424" s="76"/>
      <c r="E424" s="77"/>
      <c r="F424" s="77"/>
      <c r="G424" s="78"/>
      <c r="H424" s="76" t="str">
        <f aca="true">IF(G424="","",IF(G424=1,"Completed",
IF(G424=0,"Not Started",
IF(AND(F424&lt;&gt;"",ISNUMBER(F424),F424&lt;TODAY()),"Delayed","In Progress")
)
)
)</f>
        <v/>
      </c>
      <c r="I424" s="76"/>
      <c r="J424" s="76"/>
      <c r="K424" s="76"/>
      <c r="L424" s="76"/>
      <c r="M424" s="80"/>
      <c r="N424" s="96"/>
    </row>
    <row r="425" customFormat="false" ht="22.5" hidden="false" customHeight="true" outlineLevel="0" collapsed="false">
      <c r="A425" s="94"/>
      <c r="B425" s="95"/>
      <c r="C425" s="84"/>
      <c r="D425" s="76"/>
      <c r="E425" s="77"/>
      <c r="F425" s="77"/>
      <c r="G425" s="78"/>
      <c r="H425" s="76" t="str">
        <f aca="true">IF(G425="","",IF(G425=1,"Completed",
IF(G425=0,"Not Started",
IF(AND(F425&lt;&gt;"",ISNUMBER(F425),F425&lt;TODAY()),"Delayed","In Progress")
)
)
)</f>
        <v/>
      </c>
      <c r="I425" s="76"/>
      <c r="J425" s="76"/>
      <c r="K425" s="76"/>
      <c r="L425" s="76"/>
      <c r="M425" s="80"/>
      <c r="N425" s="96"/>
    </row>
    <row r="426" customFormat="false" ht="22.5" hidden="false" customHeight="true" outlineLevel="0" collapsed="false">
      <c r="A426" s="94"/>
      <c r="B426" s="95"/>
      <c r="C426" s="84"/>
      <c r="D426" s="76"/>
      <c r="E426" s="77"/>
      <c r="F426" s="77"/>
      <c r="G426" s="78"/>
      <c r="H426" s="76" t="str">
        <f aca="true">IF(G426="","",IF(G426=1,"Completed",
IF(G426=0,"Not Started",
IF(AND(F426&lt;&gt;"",ISNUMBER(F426),F426&lt;TODAY()),"Delayed","In Progress")
)
)
)</f>
        <v/>
      </c>
      <c r="I426" s="76"/>
      <c r="J426" s="76"/>
      <c r="K426" s="76"/>
      <c r="L426" s="76"/>
      <c r="M426" s="80"/>
      <c r="N426" s="96"/>
    </row>
    <row r="427" customFormat="false" ht="22.5" hidden="false" customHeight="true" outlineLevel="0" collapsed="false">
      <c r="A427" s="94"/>
      <c r="B427" s="95"/>
      <c r="C427" s="84"/>
      <c r="D427" s="76"/>
      <c r="E427" s="77"/>
      <c r="F427" s="77"/>
      <c r="G427" s="78"/>
      <c r="H427" s="76" t="str">
        <f aca="true">IF(G427="","",IF(G427=1,"Completed",
IF(G427=0,"Not Started",
IF(AND(F427&lt;&gt;"",ISNUMBER(F427),F427&lt;TODAY()),"Delayed","In Progress")
)
)
)</f>
        <v/>
      </c>
      <c r="I427" s="76"/>
      <c r="J427" s="76"/>
      <c r="K427" s="76"/>
      <c r="L427" s="76"/>
      <c r="M427" s="80"/>
      <c r="N427" s="96"/>
    </row>
    <row r="428" customFormat="false" ht="22.5" hidden="false" customHeight="true" outlineLevel="0" collapsed="false">
      <c r="A428" s="94"/>
      <c r="B428" s="95"/>
      <c r="C428" s="84"/>
      <c r="D428" s="76"/>
      <c r="E428" s="77"/>
      <c r="F428" s="77"/>
      <c r="G428" s="78"/>
      <c r="H428" s="76" t="str">
        <f aca="true">IF(G428="","",IF(G428=1,"Completed",
IF(G428=0,"Not Started",
IF(AND(F428&lt;&gt;"",ISNUMBER(F428),F428&lt;TODAY()),"Delayed","In Progress")
)
)
)</f>
        <v/>
      </c>
      <c r="I428" s="76"/>
      <c r="J428" s="76"/>
      <c r="K428" s="76"/>
      <c r="L428" s="76"/>
      <c r="M428" s="80"/>
      <c r="N428" s="96"/>
    </row>
    <row r="429" customFormat="false" ht="22.5" hidden="false" customHeight="true" outlineLevel="0" collapsed="false">
      <c r="A429" s="94"/>
      <c r="B429" s="95"/>
      <c r="C429" s="84"/>
      <c r="D429" s="76"/>
      <c r="E429" s="77"/>
      <c r="F429" s="77"/>
      <c r="G429" s="78"/>
      <c r="H429" s="76" t="str">
        <f aca="true">IF(G429="","",IF(G429=1,"Completed",
IF(G429=0,"Not Started",
IF(AND(F429&lt;&gt;"",ISNUMBER(F429),F429&lt;TODAY()),"Delayed","In Progress")
)
)
)</f>
        <v/>
      </c>
      <c r="I429" s="76"/>
      <c r="J429" s="76"/>
      <c r="K429" s="76"/>
      <c r="L429" s="76"/>
      <c r="M429" s="80"/>
      <c r="N429" s="96"/>
    </row>
    <row r="430" customFormat="false" ht="22.5" hidden="false" customHeight="true" outlineLevel="0" collapsed="false">
      <c r="A430" s="94"/>
      <c r="B430" s="95"/>
      <c r="C430" s="84"/>
      <c r="D430" s="76"/>
      <c r="E430" s="77"/>
      <c r="F430" s="77"/>
      <c r="G430" s="78"/>
      <c r="H430" s="76" t="str">
        <f aca="true">IF(G430="","",IF(G430=1,"Completed",
IF(G430=0,"Not Started",
IF(AND(F430&lt;&gt;"",ISNUMBER(F430),F430&lt;TODAY()),"Delayed","In Progress")
)
)
)</f>
        <v/>
      </c>
      <c r="I430" s="76"/>
      <c r="J430" s="76"/>
      <c r="K430" s="76"/>
      <c r="L430" s="76"/>
      <c r="M430" s="80"/>
      <c r="N430" s="96"/>
    </row>
    <row r="431" customFormat="false" ht="22.5" hidden="false" customHeight="true" outlineLevel="0" collapsed="false">
      <c r="A431" s="94"/>
      <c r="B431" s="95"/>
      <c r="C431" s="84"/>
      <c r="D431" s="76"/>
      <c r="E431" s="77"/>
      <c r="F431" s="77"/>
      <c r="G431" s="78"/>
      <c r="H431" s="76" t="str">
        <f aca="true">IF(G431="","",IF(G431=1,"Completed",
IF(G431=0,"Not Started",
IF(AND(F431&lt;&gt;"",ISNUMBER(F431),F431&lt;TODAY()),"Delayed","In Progress")
)
)
)</f>
        <v/>
      </c>
      <c r="I431" s="76"/>
      <c r="J431" s="76"/>
      <c r="K431" s="76"/>
      <c r="L431" s="76"/>
      <c r="M431" s="80"/>
      <c r="N431" s="96"/>
    </row>
    <row r="432" customFormat="false" ht="22.5" hidden="false" customHeight="true" outlineLevel="0" collapsed="false">
      <c r="A432" s="94"/>
      <c r="B432" s="95"/>
      <c r="C432" s="84"/>
      <c r="D432" s="76"/>
      <c r="E432" s="77"/>
      <c r="F432" s="77"/>
      <c r="G432" s="78"/>
      <c r="H432" s="76" t="str">
        <f aca="true">IF(G432="","",IF(G432=1,"Completed",
IF(G432=0,"Not Started",
IF(AND(F432&lt;&gt;"",ISNUMBER(F432),F432&lt;TODAY()),"Delayed","In Progress")
)
)
)</f>
        <v/>
      </c>
      <c r="I432" s="76"/>
      <c r="J432" s="76"/>
      <c r="K432" s="76"/>
      <c r="L432" s="76"/>
      <c r="M432" s="80"/>
      <c r="N432" s="96"/>
    </row>
    <row r="433" customFormat="false" ht="22.5" hidden="false" customHeight="true" outlineLevel="0" collapsed="false">
      <c r="A433" s="94"/>
      <c r="B433" s="95"/>
      <c r="C433" s="84"/>
      <c r="D433" s="76"/>
      <c r="E433" s="77"/>
      <c r="F433" s="77"/>
      <c r="G433" s="78"/>
      <c r="H433" s="76" t="str">
        <f aca="true">IF(G433="","",IF(G433=1,"Completed",
IF(G433=0,"Not Started",
IF(AND(F433&lt;&gt;"",ISNUMBER(F433),F433&lt;TODAY()),"Delayed","In Progress")
)
)
)</f>
        <v/>
      </c>
      <c r="I433" s="76"/>
      <c r="J433" s="76"/>
      <c r="K433" s="76"/>
      <c r="L433" s="76"/>
      <c r="M433" s="80"/>
      <c r="N433" s="96"/>
    </row>
    <row r="434" customFormat="false" ht="22.5" hidden="false" customHeight="true" outlineLevel="0" collapsed="false">
      <c r="A434" s="94"/>
      <c r="B434" s="95"/>
      <c r="C434" s="84"/>
      <c r="D434" s="76"/>
      <c r="E434" s="77"/>
      <c r="F434" s="77"/>
      <c r="G434" s="78"/>
      <c r="H434" s="76" t="str">
        <f aca="true">IF(G434="","",IF(G434=1,"Completed",
IF(G434=0,"Not Started",
IF(AND(F434&lt;&gt;"",ISNUMBER(F434),F434&lt;TODAY()),"Delayed","In Progress")
)
)
)</f>
        <v/>
      </c>
      <c r="I434" s="76"/>
      <c r="J434" s="76"/>
      <c r="K434" s="76"/>
      <c r="L434" s="76"/>
      <c r="M434" s="80"/>
      <c r="N434" s="96"/>
    </row>
    <row r="435" customFormat="false" ht="22.5" hidden="false" customHeight="true" outlineLevel="0" collapsed="false">
      <c r="A435" s="94"/>
      <c r="B435" s="95"/>
      <c r="C435" s="84"/>
      <c r="D435" s="76"/>
      <c r="E435" s="77"/>
      <c r="F435" s="77"/>
      <c r="G435" s="78"/>
      <c r="H435" s="76" t="str">
        <f aca="true">IF(G435="","",IF(G435=1,"Completed",
IF(G435=0,"Not Started",
IF(AND(F435&lt;&gt;"",ISNUMBER(F435),F435&lt;TODAY()),"Delayed","In Progress")
)
)
)</f>
        <v/>
      </c>
      <c r="I435" s="76"/>
      <c r="J435" s="76"/>
      <c r="K435" s="76"/>
      <c r="L435" s="76"/>
      <c r="M435" s="80"/>
      <c r="N435" s="96"/>
    </row>
    <row r="436" customFormat="false" ht="22.5" hidden="false" customHeight="true" outlineLevel="0" collapsed="false">
      <c r="A436" s="94"/>
      <c r="B436" s="95"/>
      <c r="C436" s="84"/>
      <c r="D436" s="76"/>
      <c r="E436" s="77"/>
      <c r="F436" s="77"/>
      <c r="G436" s="78"/>
      <c r="H436" s="76" t="str">
        <f aca="true">IF(G436="","",IF(G436=1,"Completed",
IF(G436=0,"Not Started",
IF(AND(F436&lt;&gt;"",ISNUMBER(F436),F436&lt;TODAY()),"Delayed","In Progress")
)
)
)</f>
        <v/>
      </c>
      <c r="I436" s="76"/>
      <c r="J436" s="76"/>
      <c r="K436" s="76"/>
      <c r="L436" s="76"/>
      <c r="M436" s="80"/>
      <c r="N436" s="96"/>
    </row>
    <row r="437" customFormat="false" ht="22.5" hidden="false" customHeight="true" outlineLevel="0" collapsed="false">
      <c r="A437" s="94"/>
      <c r="B437" s="95"/>
      <c r="C437" s="84"/>
      <c r="D437" s="76"/>
      <c r="E437" s="77"/>
      <c r="F437" s="77"/>
      <c r="G437" s="78"/>
      <c r="H437" s="76" t="str">
        <f aca="true">IF(G437="","",IF(G437=1,"Completed",
IF(G437=0,"Not Started",
IF(AND(F437&lt;&gt;"",ISNUMBER(F437),F437&lt;TODAY()),"Delayed","In Progress")
)
)
)</f>
        <v/>
      </c>
      <c r="I437" s="76"/>
      <c r="J437" s="76"/>
      <c r="K437" s="76"/>
      <c r="L437" s="76"/>
      <c r="M437" s="80"/>
      <c r="N437" s="96"/>
    </row>
    <row r="438" customFormat="false" ht="22.5" hidden="false" customHeight="true" outlineLevel="0" collapsed="false">
      <c r="A438" s="94"/>
      <c r="B438" s="95"/>
      <c r="C438" s="84"/>
      <c r="D438" s="76"/>
      <c r="E438" s="77"/>
      <c r="F438" s="77"/>
      <c r="G438" s="78"/>
      <c r="H438" s="76" t="str">
        <f aca="true">IF(G438="","",IF(G438=1,"Completed",
IF(G438=0,"Not Started",
IF(AND(F438&lt;&gt;"",ISNUMBER(F438),F438&lt;TODAY()),"Delayed","In Progress")
)
)
)</f>
        <v/>
      </c>
      <c r="I438" s="76"/>
      <c r="J438" s="76"/>
      <c r="K438" s="76"/>
      <c r="L438" s="76"/>
      <c r="M438" s="80"/>
      <c r="N438" s="96"/>
    </row>
    <row r="439" customFormat="false" ht="22.5" hidden="false" customHeight="true" outlineLevel="0" collapsed="false">
      <c r="A439" s="94"/>
      <c r="B439" s="95"/>
      <c r="C439" s="84"/>
      <c r="D439" s="76"/>
      <c r="E439" s="77"/>
      <c r="F439" s="77"/>
      <c r="G439" s="78"/>
      <c r="H439" s="76" t="str">
        <f aca="true">IF(G439="","",IF(G439=1,"Completed",
IF(G439=0,"Not Started",
IF(AND(F439&lt;&gt;"",ISNUMBER(F439),F439&lt;TODAY()),"Delayed","In Progress")
)
)
)</f>
        <v/>
      </c>
      <c r="I439" s="76"/>
      <c r="J439" s="76"/>
      <c r="K439" s="76"/>
      <c r="L439" s="76"/>
      <c r="M439" s="80"/>
      <c r="N439" s="96"/>
    </row>
    <row r="440" customFormat="false" ht="22.5" hidden="false" customHeight="true" outlineLevel="0" collapsed="false">
      <c r="A440" s="94"/>
      <c r="B440" s="95"/>
      <c r="C440" s="84"/>
      <c r="D440" s="76"/>
      <c r="E440" s="77"/>
      <c r="F440" s="77"/>
      <c r="G440" s="78"/>
      <c r="H440" s="76" t="str">
        <f aca="true">IF(G440="","",IF(G440=1,"Completed",
IF(G440=0,"Not Started",
IF(AND(F440&lt;&gt;"",ISNUMBER(F440),F440&lt;TODAY()),"Delayed","In Progress")
)
)
)</f>
        <v/>
      </c>
      <c r="I440" s="76"/>
      <c r="J440" s="76"/>
      <c r="K440" s="76"/>
      <c r="L440" s="76"/>
      <c r="M440" s="80"/>
      <c r="N440" s="96"/>
    </row>
    <row r="441" customFormat="false" ht="22.5" hidden="false" customHeight="true" outlineLevel="0" collapsed="false">
      <c r="A441" s="94"/>
      <c r="B441" s="95"/>
      <c r="C441" s="84"/>
      <c r="D441" s="76"/>
      <c r="E441" s="77"/>
      <c r="F441" s="77"/>
      <c r="G441" s="78"/>
      <c r="H441" s="76" t="str">
        <f aca="true">IF(G441="","",IF(G441=1,"Completed",
IF(G441=0,"Not Started",
IF(AND(F441&lt;&gt;"",ISNUMBER(F441),F441&lt;TODAY()),"Delayed","In Progress")
)
)
)</f>
        <v/>
      </c>
      <c r="I441" s="76"/>
      <c r="J441" s="76"/>
      <c r="K441" s="76"/>
      <c r="L441" s="76"/>
      <c r="M441" s="80"/>
      <c r="N441" s="96"/>
    </row>
    <row r="442" customFormat="false" ht="22.5" hidden="false" customHeight="true" outlineLevel="0" collapsed="false">
      <c r="A442" s="94"/>
      <c r="B442" s="95"/>
      <c r="C442" s="84"/>
      <c r="D442" s="76"/>
      <c r="E442" s="77"/>
      <c r="F442" s="77"/>
      <c r="G442" s="78"/>
      <c r="H442" s="76" t="str">
        <f aca="true">IF(G442="","",IF(G442=1,"Completed",
IF(G442=0,"Not Started",
IF(AND(F442&lt;&gt;"",ISNUMBER(F442),F442&lt;TODAY()),"Delayed","In Progress")
)
)
)</f>
        <v/>
      </c>
      <c r="I442" s="76"/>
      <c r="J442" s="76"/>
      <c r="K442" s="76"/>
      <c r="L442" s="76"/>
      <c r="M442" s="80"/>
      <c r="N442" s="96"/>
    </row>
    <row r="443" customFormat="false" ht="22.5" hidden="false" customHeight="true" outlineLevel="0" collapsed="false">
      <c r="A443" s="94"/>
      <c r="B443" s="95"/>
      <c r="C443" s="84"/>
      <c r="D443" s="76"/>
      <c r="E443" s="77"/>
      <c r="F443" s="77"/>
      <c r="G443" s="78"/>
      <c r="H443" s="76" t="str">
        <f aca="true">IF(G443="","",IF(G443=1,"Completed",
IF(G443=0,"Not Started",
IF(AND(F443&lt;&gt;"",ISNUMBER(F443),F443&lt;TODAY()),"Delayed","In Progress")
)
)
)</f>
        <v/>
      </c>
      <c r="I443" s="76"/>
      <c r="J443" s="76"/>
      <c r="K443" s="76"/>
      <c r="L443" s="76"/>
      <c r="M443" s="80"/>
      <c r="N443" s="96"/>
    </row>
    <row r="444" customFormat="false" ht="22.5" hidden="false" customHeight="true" outlineLevel="0" collapsed="false">
      <c r="A444" s="94"/>
      <c r="B444" s="95"/>
      <c r="C444" s="84"/>
      <c r="D444" s="76"/>
      <c r="E444" s="77"/>
      <c r="F444" s="77"/>
      <c r="G444" s="78"/>
      <c r="H444" s="76" t="str">
        <f aca="true">IF(G444="","",IF(G444=1,"Completed",
IF(G444=0,"Not Started",
IF(AND(F444&lt;&gt;"",ISNUMBER(F444),F444&lt;TODAY()),"Delayed","In Progress")
)
)
)</f>
        <v/>
      </c>
      <c r="I444" s="76"/>
      <c r="J444" s="76"/>
      <c r="K444" s="76"/>
      <c r="L444" s="76"/>
      <c r="M444" s="80"/>
      <c r="N444" s="96"/>
    </row>
    <row r="445" customFormat="false" ht="22.5" hidden="false" customHeight="true" outlineLevel="0" collapsed="false">
      <c r="A445" s="94"/>
      <c r="B445" s="95"/>
      <c r="C445" s="84"/>
      <c r="D445" s="76"/>
      <c r="E445" s="77"/>
      <c r="F445" s="77"/>
      <c r="G445" s="78"/>
      <c r="H445" s="76" t="str">
        <f aca="true">IF(G445="","",IF(G445=1,"Completed",
IF(G445=0,"Not Started",
IF(AND(F445&lt;&gt;"",ISNUMBER(F445),F445&lt;TODAY()),"Delayed","In Progress")
)
)
)</f>
        <v/>
      </c>
      <c r="I445" s="76"/>
      <c r="J445" s="76"/>
      <c r="K445" s="76"/>
      <c r="L445" s="76"/>
      <c r="M445" s="80"/>
      <c r="N445" s="96"/>
    </row>
    <row r="446" customFormat="false" ht="22.5" hidden="false" customHeight="true" outlineLevel="0" collapsed="false">
      <c r="A446" s="94"/>
      <c r="B446" s="95"/>
      <c r="C446" s="84"/>
      <c r="D446" s="76"/>
      <c r="E446" s="77"/>
      <c r="F446" s="77"/>
      <c r="G446" s="78"/>
      <c r="H446" s="76" t="str">
        <f aca="true">IF(G446="","",IF(G446=1,"Completed",
IF(G446=0,"Not Started",
IF(AND(F446&lt;&gt;"",ISNUMBER(F446),F446&lt;TODAY()),"Delayed","In Progress")
)
)
)</f>
        <v/>
      </c>
      <c r="I446" s="76"/>
      <c r="J446" s="76"/>
      <c r="K446" s="76"/>
      <c r="L446" s="76"/>
      <c r="M446" s="80"/>
      <c r="N446" s="96"/>
    </row>
    <row r="447" customFormat="false" ht="22.5" hidden="false" customHeight="true" outlineLevel="0" collapsed="false">
      <c r="A447" s="94"/>
      <c r="B447" s="95"/>
      <c r="C447" s="84"/>
      <c r="D447" s="76"/>
      <c r="E447" s="77"/>
      <c r="F447" s="77"/>
      <c r="G447" s="78"/>
      <c r="H447" s="76" t="str">
        <f aca="true">IF(G447="","",IF(G447=1,"Completed",
IF(G447=0,"Not Started",
IF(AND(F447&lt;&gt;"",ISNUMBER(F447),F447&lt;TODAY()),"Delayed","In Progress")
)
)
)</f>
        <v/>
      </c>
      <c r="I447" s="76"/>
      <c r="J447" s="76"/>
      <c r="K447" s="76"/>
      <c r="L447" s="76"/>
      <c r="M447" s="80"/>
      <c r="N447" s="96"/>
    </row>
    <row r="448" customFormat="false" ht="22.5" hidden="false" customHeight="true" outlineLevel="0" collapsed="false">
      <c r="A448" s="94"/>
      <c r="B448" s="95"/>
      <c r="C448" s="84"/>
      <c r="D448" s="76"/>
      <c r="E448" s="77"/>
      <c r="F448" s="77"/>
      <c r="G448" s="78"/>
      <c r="H448" s="76" t="str">
        <f aca="true">IF(G448="","",IF(G448=1,"Completed",
IF(G448=0,"Not Started",
IF(AND(F448&lt;&gt;"",ISNUMBER(F448),F448&lt;TODAY()),"Delayed","In Progress")
)
)
)</f>
        <v/>
      </c>
      <c r="I448" s="76"/>
      <c r="J448" s="76"/>
      <c r="K448" s="76"/>
      <c r="L448" s="76"/>
      <c r="M448" s="80"/>
      <c r="N448" s="96"/>
    </row>
    <row r="449" customFormat="false" ht="22.5" hidden="false" customHeight="true" outlineLevel="0" collapsed="false">
      <c r="A449" s="94"/>
      <c r="B449" s="95"/>
      <c r="C449" s="84"/>
      <c r="D449" s="76"/>
      <c r="E449" s="77"/>
      <c r="F449" s="77"/>
      <c r="G449" s="78"/>
      <c r="H449" s="76" t="str">
        <f aca="true">IF(G449="","",IF(G449=1,"Completed",
IF(G449=0,"Not Started",
IF(AND(F449&lt;&gt;"",ISNUMBER(F449),F449&lt;TODAY()),"Delayed","In Progress")
)
)
)</f>
        <v/>
      </c>
      <c r="I449" s="76"/>
      <c r="J449" s="76"/>
      <c r="K449" s="76"/>
      <c r="L449" s="76"/>
      <c r="M449" s="80"/>
      <c r="N449" s="96"/>
    </row>
    <row r="450" customFormat="false" ht="22.5" hidden="false" customHeight="true" outlineLevel="0" collapsed="false">
      <c r="A450" s="94"/>
      <c r="B450" s="95"/>
      <c r="C450" s="84"/>
      <c r="D450" s="76"/>
      <c r="E450" s="77"/>
      <c r="F450" s="77"/>
      <c r="G450" s="78"/>
      <c r="H450" s="76" t="str">
        <f aca="true">IF(G450="","",IF(G450=1,"Completed",
IF(G450=0,"Not Started",
IF(AND(F450&lt;&gt;"",ISNUMBER(F450),F450&lt;TODAY()),"Delayed","In Progress")
)
)
)</f>
        <v/>
      </c>
      <c r="I450" s="76"/>
      <c r="J450" s="76"/>
      <c r="K450" s="76"/>
      <c r="L450" s="76"/>
      <c r="M450" s="80"/>
      <c r="N450" s="96"/>
    </row>
    <row r="451" customFormat="false" ht="22.5" hidden="false" customHeight="true" outlineLevel="0" collapsed="false">
      <c r="A451" s="94"/>
      <c r="B451" s="95"/>
      <c r="C451" s="84"/>
      <c r="D451" s="76"/>
      <c r="E451" s="77"/>
      <c r="F451" s="77"/>
      <c r="G451" s="78"/>
      <c r="H451" s="76" t="str">
        <f aca="true">IF(G451="","",IF(G451=1,"Completed",
IF(G451=0,"Not Started",
IF(AND(F451&lt;&gt;"",ISNUMBER(F451),F451&lt;TODAY()),"Delayed","In Progress")
)
)
)</f>
        <v/>
      </c>
      <c r="I451" s="76"/>
      <c r="J451" s="76"/>
      <c r="K451" s="76"/>
      <c r="L451" s="76"/>
      <c r="M451" s="80"/>
      <c r="N451" s="96"/>
    </row>
    <row r="452" customFormat="false" ht="22.5" hidden="false" customHeight="true" outlineLevel="0" collapsed="false">
      <c r="A452" s="94"/>
      <c r="B452" s="95"/>
      <c r="C452" s="84"/>
      <c r="D452" s="76"/>
      <c r="E452" s="77"/>
      <c r="F452" s="77"/>
      <c r="G452" s="78"/>
      <c r="H452" s="76" t="str">
        <f aca="true">IF(G452="","",IF(G452=1,"Completed",
IF(G452=0,"Not Started",
IF(AND(F452&lt;&gt;"",ISNUMBER(F452),F452&lt;TODAY()),"Delayed","In Progress")
)
)
)</f>
        <v/>
      </c>
      <c r="I452" s="76"/>
      <c r="J452" s="76"/>
      <c r="K452" s="76"/>
      <c r="L452" s="76"/>
      <c r="M452" s="80"/>
      <c r="N452" s="96"/>
    </row>
    <row r="453" customFormat="false" ht="22.5" hidden="false" customHeight="true" outlineLevel="0" collapsed="false">
      <c r="A453" s="94"/>
      <c r="B453" s="95"/>
      <c r="C453" s="84"/>
      <c r="D453" s="76"/>
      <c r="E453" s="77"/>
      <c r="F453" s="77"/>
      <c r="G453" s="78"/>
      <c r="H453" s="76" t="str">
        <f aca="true">IF(G453="","",IF(G453=1,"Completed",
IF(G453=0,"Not Started",
IF(AND(F453&lt;&gt;"",ISNUMBER(F453),F453&lt;TODAY()),"Delayed","In Progress")
)
)
)</f>
        <v/>
      </c>
      <c r="I453" s="76"/>
      <c r="J453" s="76"/>
      <c r="K453" s="76"/>
      <c r="L453" s="76"/>
      <c r="M453" s="80"/>
      <c r="N453" s="96"/>
    </row>
    <row r="454" customFormat="false" ht="22.5" hidden="false" customHeight="true" outlineLevel="0" collapsed="false">
      <c r="A454" s="94"/>
      <c r="B454" s="95"/>
      <c r="C454" s="84"/>
      <c r="D454" s="76"/>
      <c r="E454" s="77"/>
      <c r="F454" s="77"/>
      <c r="G454" s="78"/>
      <c r="H454" s="76" t="str">
        <f aca="true">IF(G454="","",IF(G454=1,"Completed",
  IF(G454=0,"Not Started",
   IF(AND(F454&lt;&gt;"",ISNUMBER(F454),F454&lt;TODAY()),"Delayed","In Progress")
  )
 )
)</f>
        <v/>
      </c>
      <c r="I454" s="76"/>
      <c r="J454" s="76"/>
      <c r="K454" s="76"/>
      <c r="L454" s="76"/>
      <c r="M454" s="80"/>
      <c r="N454" s="96"/>
    </row>
    <row r="455" customFormat="false" ht="22.5" hidden="false" customHeight="true" outlineLevel="0" collapsed="false">
      <c r="A455" s="94"/>
      <c r="B455" s="95"/>
      <c r="C455" s="84"/>
      <c r="D455" s="76"/>
      <c r="E455" s="77"/>
      <c r="F455" s="77"/>
      <c r="G455" s="78"/>
      <c r="H455" s="76" t="str">
        <f aca="true">IF(G455="","",IF(G455=1,"Completed",
IF(G455=0,"Not Started",
IF(AND(F455&lt;&gt;"",ISNUMBER(F455),F455&lt;TODAY()),"Delayed","In Progress")
)
)
)</f>
        <v/>
      </c>
      <c r="I455" s="76"/>
      <c r="J455" s="76"/>
      <c r="K455" s="76"/>
      <c r="L455" s="76"/>
      <c r="M455" s="80"/>
      <c r="N455" s="96"/>
    </row>
    <row r="456" customFormat="false" ht="22.5" hidden="false" customHeight="true" outlineLevel="0" collapsed="false">
      <c r="A456" s="94"/>
      <c r="B456" s="95"/>
      <c r="C456" s="84"/>
      <c r="D456" s="76"/>
      <c r="E456" s="77"/>
      <c r="F456" s="77"/>
      <c r="G456" s="78"/>
      <c r="H456" s="76" t="str">
        <f aca="true">IF(G456="","",IF(G456=1,"Completed",
IF(G456=0,"Not Started",
IF(AND(F456&lt;&gt;"",ISNUMBER(F456),F456&lt;TODAY()),"Delayed","In Progress")
)
)
)</f>
        <v/>
      </c>
      <c r="I456" s="76"/>
      <c r="J456" s="76"/>
      <c r="K456" s="76"/>
      <c r="L456" s="76"/>
      <c r="M456" s="80"/>
      <c r="N456" s="96"/>
    </row>
    <row r="457" customFormat="false" ht="22.5" hidden="false" customHeight="true" outlineLevel="0" collapsed="false">
      <c r="A457" s="94"/>
      <c r="B457" s="95"/>
      <c r="C457" s="84"/>
      <c r="D457" s="76"/>
      <c r="E457" s="77"/>
      <c r="F457" s="77"/>
      <c r="G457" s="78"/>
      <c r="H457" s="76" t="str">
        <f aca="true">IF(G457="","",IF(G457=1,"Completed",
IF(G457=0,"Not Started",
IF(AND(F457&lt;&gt;"",ISNUMBER(F457),F457&lt;TODAY()),"Delayed","In Progress")
)
)
)</f>
        <v/>
      </c>
      <c r="I457" s="76"/>
      <c r="J457" s="76"/>
      <c r="K457" s="76"/>
      <c r="L457" s="76"/>
      <c r="M457" s="80"/>
      <c r="N457" s="96"/>
    </row>
    <row r="458" customFormat="false" ht="22.5" hidden="false" customHeight="true" outlineLevel="0" collapsed="false">
      <c r="A458" s="94"/>
      <c r="B458" s="95"/>
      <c r="C458" s="84"/>
      <c r="D458" s="76"/>
      <c r="E458" s="77"/>
      <c r="F458" s="77"/>
      <c r="G458" s="78"/>
      <c r="H458" s="76" t="str">
        <f aca="true">IF(G458="","",IF(G458=1,"Completed",
IF(G458=0,"Not Started",
IF(AND(F458&lt;&gt;"",ISNUMBER(F458),F458&lt;TODAY()),"Delayed","In Progress")
)
)
)</f>
        <v/>
      </c>
      <c r="I458" s="76"/>
      <c r="J458" s="76"/>
      <c r="K458" s="76"/>
      <c r="L458" s="76"/>
      <c r="M458" s="80"/>
      <c r="N458" s="96"/>
    </row>
    <row r="459" customFormat="false" ht="22.5" hidden="false" customHeight="true" outlineLevel="0" collapsed="false">
      <c r="A459" s="94"/>
      <c r="B459" s="95"/>
      <c r="C459" s="84"/>
      <c r="D459" s="76"/>
      <c r="E459" s="77"/>
      <c r="F459" s="77"/>
      <c r="G459" s="78"/>
      <c r="H459" s="76" t="str">
        <f aca="true">IF(G459="","",IF(G459=1,"Completed",
IF(G459=0,"Not Started",
IF(AND(F459&lt;&gt;"",ISNUMBER(F459),F459&lt;TODAY()),"Delayed","In Progress")
)
)
)</f>
        <v/>
      </c>
      <c r="I459" s="76"/>
      <c r="J459" s="76"/>
      <c r="K459" s="76"/>
      <c r="L459" s="76"/>
      <c r="M459" s="80"/>
      <c r="N459" s="96"/>
    </row>
    <row r="460" customFormat="false" ht="22.5" hidden="false" customHeight="true" outlineLevel="0" collapsed="false">
      <c r="A460" s="94"/>
      <c r="B460" s="95"/>
      <c r="C460" s="84"/>
      <c r="D460" s="76"/>
      <c r="E460" s="77"/>
      <c r="F460" s="77"/>
      <c r="G460" s="78"/>
      <c r="H460" s="76" t="str">
        <f aca="true">IF(G460="","",IF(G460=1,"Completed",
IF(G460=0,"Not Started",
IF(AND(F460&lt;&gt;"",ISNUMBER(F460),F460&lt;TODAY()),"Delayed","In Progress")
)
)
)</f>
        <v/>
      </c>
      <c r="I460" s="76"/>
      <c r="J460" s="76"/>
      <c r="K460" s="76"/>
      <c r="L460" s="76"/>
      <c r="M460" s="80"/>
      <c r="N460" s="96"/>
    </row>
    <row r="461" customFormat="false" ht="22.5" hidden="false" customHeight="true" outlineLevel="0" collapsed="false">
      <c r="A461" s="94"/>
      <c r="B461" s="95"/>
      <c r="C461" s="84"/>
      <c r="D461" s="76"/>
      <c r="E461" s="77"/>
      <c r="F461" s="77"/>
      <c r="G461" s="78"/>
      <c r="H461" s="76" t="str">
        <f aca="true">IF(G461="","",IF(G461=1,"Completed",
IF(G461=0,"Not Started",
IF(AND(F461&lt;&gt;"",ISNUMBER(F461),F461&lt;TODAY()),"Delayed","In Progress")
)
)
)</f>
        <v/>
      </c>
      <c r="I461" s="76"/>
      <c r="J461" s="76"/>
      <c r="K461" s="76"/>
      <c r="L461" s="76"/>
      <c r="M461" s="80"/>
      <c r="N461" s="96"/>
    </row>
    <row r="462" customFormat="false" ht="22.5" hidden="false" customHeight="true" outlineLevel="0" collapsed="false">
      <c r="A462" s="94"/>
      <c r="B462" s="95"/>
      <c r="C462" s="84"/>
      <c r="D462" s="76"/>
      <c r="E462" s="77"/>
      <c r="F462" s="77"/>
      <c r="G462" s="78"/>
      <c r="H462" s="76" t="str">
        <f aca="true">IF(G462="","",IF(G462=1,"Completed",
IF(G462=0,"Not Started",
IF(AND(F462&lt;&gt;"",ISNUMBER(F462),F462&lt;TODAY()),"Delayed","In Progress")
)
)
)</f>
        <v/>
      </c>
      <c r="I462" s="76"/>
      <c r="J462" s="76"/>
      <c r="K462" s="76"/>
      <c r="L462" s="76"/>
      <c r="M462" s="80"/>
      <c r="N462" s="96"/>
    </row>
    <row r="463" customFormat="false" ht="22.5" hidden="false" customHeight="true" outlineLevel="0" collapsed="false">
      <c r="A463" s="94"/>
      <c r="B463" s="95"/>
      <c r="C463" s="84"/>
      <c r="D463" s="76"/>
      <c r="E463" s="77"/>
      <c r="F463" s="77"/>
      <c r="G463" s="78"/>
      <c r="H463" s="76" t="str">
        <f aca="true">IF(G463="","",IF(G463=1,"Completed",
IF(G463=0,"Not Started",
IF(AND(F463&lt;&gt;"",ISNUMBER(F463),F463&lt;TODAY()),"Delayed","In Progress")
)
)
)</f>
        <v/>
      </c>
      <c r="I463" s="76"/>
      <c r="J463" s="76"/>
      <c r="K463" s="76"/>
      <c r="L463" s="76"/>
      <c r="M463" s="80"/>
      <c r="N463" s="96"/>
    </row>
    <row r="464" customFormat="false" ht="22.5" hidden="false" customHeight="true" outlineLevel="0" collapsed="false">
      <c r="A464" s="94"/>
      <c r="B464" s="95"/>
      <c r="C464" s="84"/>
      <c r="D464" s="76"/>
      <c r="E464" s="77"/>
      <c r="F464" s="77"/>
      <c r="G464" s="78"/>
      <c r="H464" s="76" t="str">
        <f aca="true">IF(G464="","",IF(G464=1,"Completed",
IF(G464=0,"Not Started",
IF(AND(F464&lt;&gt;"",ISNUMBER(F464),F464&lt;TODAY()),"Delayed","In Progress")
)
)
)</f>
        <v/>
      </c>
      <c r="I464" s="76"/>
      <c r="J464" s="76"/>
      <c r="K464" s="76"/>
      <c r="L464" s="76"/>
      <c r="M464" s="80"/>
      <c r="N464" s="96"/>
    </row>
    <row r="465" customFormat="false" ht="22.5" hidden="false" customHeight="true" outlineLevel="0" collapsed="false">
      <c r="A465" s="94"/>
      <c r="B465" s="95"/>
      <c r="C465" s="84"/>
      <c r="D465" s="76"/>
      <c r="E465" s="77"/>
      <c r="F465" s="77"/>
      <c r="G465" s="78"/>
      <c r="H465" s="76" t="str">
        <f aca="true">IF(G465="","",IF(G465=1,"Completed",
IF(G465=0,"Not Started",
IF(AND(F465&lt;&gt;"",ISNUMBER(F465),F465&lt;TODAY()),"Delayed","In Progress")
)
)
)</f>
        <v/>
      </c>
      <c r="I465" s="76"/>
      <c r="J465" s="76"/>
      <c r="K465" s="76"/>
      <c r="L465" s="76"/>
      <c r="M465" s="80"/>
      <c r="N465" s="96"/>
    </row>
    <row r="466" customFormat="false" ht="22.5" hidden="false" customHeight="true" outlineLevel="0" collapsed="false">
      <c r="A466" s="94"/>
      <c r="B466" s="95"/>
      <c r="C466" s="84"/>
      <c r="D466" s="76"/>
      <c r="E466" s="77"/>
      <c r="F466" s="77"/>
      <c r="G466" s="78"/>
      <c r="H466" s="76" t="str">
        <f aca="true">IF(G466="","",IF(G466=1,"Completed",
IF(G466=0,"Not Started",
IF(AND(F466&lt;&gt;"",ISNUMBER(F466),F466&lt;TODAY()),"Delayed","In Progress")
)
)
)</f>
        <v/>
      </c>
      <c r="I466" s="76"/>
      <c r="J466" s="76"/>
      <c r="K466" s="76"/>
      <c r="L466" s="76"/>
      <c r="M466" s="80"/>
      <c r="N466" s="96"/>
    </row>
    <row r="467" customFormat="false" ht="22.5" hidden="false" customHeight="true" outlineLevel="0" collapsed="false">
      <c r="A467" s="94"/>
      <c r="B467" s="95"/>
      <c r="C467" s="84"/>
      <c r="D467" s="76"/>
      <c r="E467" s="77"/>
      <c r="F467" s="77"/>
      <c r="G467" s="78"/>
      <c r="H467" s="76" t="str">
        <f aca="true">IF(G467="","",IF(G467=1,"Completed",
IF(G467=0,"Not Started",
IF(AND(F467&lt;&gt;"",ISNUMBER(F467),F467&lt;TODAY()),"Delayed","In Progress")
)
)
)</f>
        <v/>
      </c>
      <c r="I467" s="76"/>
      <c r="J467" s="76"/>
      <c r="K467" s="76"/>
      <c r="L467" s="76"/>
      <c r="M467" s="80"/>
      <c r="N467" s="96"/>
    </row>
    <row r="468" customFormat="false" ht="22.5" hidden="false" customHeight="true" outlineLevel="0" collapsed="false">
      <c r="A468" s="94"/>
      <c r="B468" s="95"/>
      <c r="C468" s="84"/>
      <c r="D468" s="76"/>
      <c r="E468" s="77"/>
      <c r="F468" s="77"/>
      <c r="G468" s="78"/>
      <c r="H468" s="76" t="str">
        <f aca="true">IF(G468="","",IF(G468=1,"Completed",
IF(G468=0,"Not Started",
IF(AND(F468&lt;&gt;"",ISNUMBER(F468),F468&lt;TODAY()),"Delayed","In Progress")
)
)
)</f>
        <v/>
      </c>
      <c r="I468" s="76"/>
      <c r="J468" s="76"/>
      <c r="K468" s="76"/>
      <c r="L468" s="76"/>
      <c r="M468" s="80"/>
      <c r="N468" s="96"/>
    </row>
    <row r="469" customFormat="false" ht="22.5" hidden="false" customHeight="true" outlineLevel="0" collapsed="false">
      <c r="A469" s="94"/>
      <c r="B469" s="95"/>
      <c r="C469" s="84"/>
      <c r="D469" s="76"/>
      <c r="E469" s="77"/>
      <c r="F469" s="77"/>
      <c r="G469" s="78"/>
      <c r="H469" s="76" t="str">
        <f aca="true">IF(G469="","",IF(G469=1,"Completed",
IF(G469=0,"Not Started",
IF(AND(F469&lt;&gt;"",ISNUMBER(F469),F469&lt;TODAY()),"Delayed","In Progress")
)
)
)</f>
        <v/>
      </c>
      <c r="I469" s="76"/>
      <c r="J469" s="76"/>
      <c r="K469" s="76"/>
      <c r="L469" s="76"/>
      <c r="M469" s="80"/>
      <c r="N469" s="96"/>
    </row>
    <row r="470" customFormat="false" ht="22.5" hidden="false" customHeight="true" outlineLevel="0" collapsed="false">
      <c r="A470" s="94"/>
      <c r="B470" s="95"/>
      <c r="C470" s="84"/>
      <c r="D470" s="76"/>
      <c r="E470" s="77"/>
      <c r="F470" s="77"/>
      <c r="G470" s="78"/>
      <c r="H470" s="76" t="str">
        <f aca="true">IF(G470="","",IF(G470=1,"Completed",
IF(G470=0,"Not Started",
IF(AND(F470&lt;&gt;"",ISNUMBER(F470),F470&lt;TODAY()),"Delayed","In Progress")
)
)
)</f>
        <v/>
      </c>
      <c r="I470" s="76"/>
      <c r="J470" s="76"/>
      <c r="K470" s="76"/>
      <c r="L470" s="76"/>
      <c r="M470" s="80"/>
      <c r="N470" s="96"/>
    </row>
    <row r="471" customFormat="false" ht="22.5" hidden="false" customHeight="true" outlineLevel="0" collapsed="false">
      <c r="A471" s="94"/>
      <c r="B471" s="95"/>
      <c r="C471" s="84"/>
      <c r="D471" s="76"/>
      <c r="E471" s="77"/>
      <c r="F471" s="77"/>
      <c r="G471" s="78"/>
      <c r="H471" s="76" t="str">
        <f aca="true">IF(G471="","",IF(G471=1,"Completed",
IF(G471=0,"Not Started",
IF(AND(F471&lt;&gt;"",ISNUMBER(F471),F471&lt;TODAY()),"Delayed","In Progress")
)
)
)</f>
        <v/>
      </c>
      <c r="I471" s="76"/>
      <c r="J471" s="76"/>
      <c r="K471" s="76"/>
      <c r="L471" s="76"/>
      <c r="M471" s="80"/>
      <c r="N471" s="96"/>
    </row>
    <row r="472" customFormat="false" ht="22.5" hidden="false" customHeight="true" outlineLevel="0" collapsed="false">
      <c r="A472" s="94"/>
      <c r="B472" s="95"/>
      <c r="C472" s="84"/>
      <c r="D472" s="76"/>
      <c r="E472" s="77"/>
      <c r="F472" s="77"/>
      <c r="G472" s="78"/>
      <c r="H472" s="76" t="str">
        <f aca="true">IF(G472="","",IF(G472=1,"Completed",
IF(G472=0,"Not Started",
IF(AND(F472&lt;&gt;"",ISNUMBER(F472),F472&lt;TODAY()),"Delayed","In Progress")
)
)
)</f>
        <v/>
      </c>
      <c r="I472" s="76"/>
      <c r="J472" s="76"/>
      <c r="K472" s="76"/>
      <c r="L472" s="76"/>
      <c r="M472" s="80"/>
      <c r="N472" s="96"/>
    </row>
    <row r="473" customFormat="false" ht="22.5" hidden="false" customHeight="true" outlineLevel="0" collapsed="false">
      <c r="A473" s="94"/>
      <c r="B473" s="95"/>
      <c r="C473" s="84"/>
      <c r="D473" s="76"/>
      <c r="E473" s="77"/>
      <c r="F473" s="77"/>
      <c r="G473" s="78"/>
      <c r="H473" s="76" t="str">
        <f aca="true">IF(G473="","",IF(G473=1,"Completed",
IF(G473=0,"Not Started",
IF(AND(F473&lt;&gt;"",ISNUMBER(F473),F473&lt;TODAY()),"Delayed","In Progress")
)
)
)</f>
        <v/>
      </c>
      <c r="I473" s="76"/>
      <c r="J473" s="76"/>
      <c r="K473" s="76"/>
      <c r="L473" s="76"/>
      <c r="M473" s="80"/>
      <c r="N473" s="96"/>
    </row>
    <row r="474" customFormat="false" ht="22.5" hidden="false" customHeight="true" outlineLevel="0" collapsed="false">
      <c r="A474" s="94"/>
      <c r="B474" s="95"/>
      <c r="C474" s="84"/>
      <c r="D474" s="76"/>
      <c r="E474" s="77"/>
      <c r="F474" s="77"/>
      <c r="G474" s="78"/>
      <c r="H474" s="76" t="str">
        <f aca="true">IF(G474="","",IF(G474=1,"Completed",
IF(G474=0,"Not Started",
IF(AND(F474&lt;&gt;"",ISNUMBER(F474),F474&lt;TODAY()),"Delayed","In Progress")
)
)
)</f>
        <v/>
      </c>
      <c r="I474" s="76"/>
      <c r="J474" s="76"/>
      <c r="K474" s="76"/>
      <c r="L474" s="76"/>
      <c r="M474" s="80"/>
      <c r="N474" s="96"/>
    </row>
    <row r="475" customFormat="false" ht="22.5" hidden="false" customHeight="true" outlineLevel="0" collapsed="false">
      <c r="A475" s="94"/>
      <c r="B475" s="95"/>
      <c r="C475" s="84"/>
      <c r="D475" s="76"/>
      <c r="E475" s="77"/>
      <c r="F475" s="77"/>
      <c r="G475" s="78"/>
      <c r="H475" s="76" t="str">
        <f aca="true">IF(G475="","",IF(G475=1,"Completed",
IF(G475=0,"Not Started",
IF(AND(F475&lt;&gt;"",ISNUMBER(F475),F475&lt;TODAY()),"Delayed","In Progress")
)
)
)</f>
        <v/>
      </c>
      <c r="I475" s="76"/>
      <c r="J475" s="76"/>
      <c r="K475" s="76"/>
      <c r="L475" s="76"/>
      <c r="M475" s="80"/>
      <c r="N475" s="96"/>
    </row>
    <row r="476" customFormat="false" ht="22.5" hidden="false" customHeight="true" outlineLevel="0" collapsed="false">
      <c r="A476" s="94"/>
      <c r="B476" s="95"/>
      <c r="C476" s="84"/>
      <c r="D476" s="76"/>
      <c r="E476" s="77"/>
      <c r="F476" s="77"/>
      <c r="G476" s="78"/>
      <c r="H476" s="76" t="str">
        <f aca="true">IF(G476="","",IF(G476=1,"Completed",
IF(G476=0,"Not Started",
IF(AND(F476&lt;&gt;"",ISNUMBER(F476),F476&lt;TODAY()),"Delayed","In Progress")
)
)
)</f>
        <v/>
      </c>
      <c r="I476" s="76"/>
      <c r="J476" s="76"/>
      <c r="K476" s="76"/>
      <c r="L476" s="76"/>
      <c r="M476" s="80"/>
      <c r="N476" s="96"/>
    </row>
    <row r="477" customFormat="false" ht="22.5" hidden="false" customHeight="true" outlineLevel="0" collapsed="false">
      <c r="A477" s="94"/>
      <c r="B477" s="95"/>
      <c r="C477" s="84"/>
      <c r="D477" s="76"/>
      <c r="E477" s="77"/>
      <c r="F477" s="77"/>
      <c r="G477" s="78"/>
      <c r="H477" s="76" t="str">
        <f aca="true">IF(G477="","",IF(G477=1,"Completed",
IF(G477=0,"Not Started",
IF(AND(F477&lt;&gt;"",ISNUMBER(F477),F477&lt;TODAY()),"Delayed","In Progress")
)
)
)</f>
        <v/>
      </c>
      <c r="I477" s="76"/>
      <c r="J477" s="76"/>
      <c r="K477" s="76"/>
      <c r="L477" s="76"/>
      <c r="M477" s="80"/>
      <c r="N477" s="96"/>
    </row>
    <row r="478" customFormat="false" ht="22.5" hidden="false" customHeight="true" outlineLevel="0" collapsed="false">
      <c r="A478" s="94"/>
      <c r="B478" s="95"/>
      <c r="C478" s="84"/>
      <c r="D478" s="76"/>
      <c r="E478" s="77"/>
      <c r="F478" s="77"/>
      <c r="G478" s="78"/>
      <c r="H478" s="76" t="str">
        <f aca="true">IF(G478="","",IF(G478=1,"Completed",
IF(G478=0,"Not Started",
IF(AND(F478&lt;&gt;"",ISNUMBER(F478),F478&lt;TODAY()),"Delayed","In Progress")
)
)
)</f>
        <v/>
      </c>
      <c r="I478" s="76"/>
      <c r="J478" s="76"/>
      <c r="K478" s="76"/>
      <c r="L478" s="76"/>
      <c r="M478" s="80"/>
      <c r="N478" s="96"/>
    </row>
    <row r="479" customFormat="false" ht="22.5" hidden="false" customHeight="true" outlineLevel="0" collapsed="false">
      <c r="A479" s="94"/>
      <c r="B479" s="95"/>
      <c r="C479" s="84"/>
      <c r="D479" s="76"/>
      <c r="E479" s="77"/>
      <c r="F479" s="77"/>
      <c r="G479" s="78"/>
      <c r="H479" s="76" t="str">
        <f aca="true">IF(G479="","",IF(G479=1,"Completed",
IF(G479=0,"Not Started",
IF(AND(F479&lt;&gt;"",ISNUMBER(F479),F479&lt;TODAY()),"Delayed","In Progress")
)
)
)</f>
        <v/>
      </c>
      <c r="I479" s="76"/>
      <c r="J479" s="76"/>
      <c r="K479" s="76"/>
      <c r="L479" s="76"/>
      <c r="M479" s="80"/>
      <c r="N479" s="96"/>
    </row>
    <row r="480" customFormat="false" ht="22.5" hidden="false" customHeight="true" outlineLevel="0" collapsed="false">
      <c r="A480" s="94"/>
      <c r="B480" s="95"/>
      <c r="C480" s="84"/>
      <c r="D480" s="76"/>
      <c r="E480" s="77"/>
      <c r="F480" s="77"/>
      <c r="G480" s="78"/>
      <c r="H480" s="76" t="str">
        <f aca="true">IF(G480="","",IF(G480=1,"Completed",
IF(G480=0,"Not Started",
IF(AND(F480&lt;&gt;"",ISNUMBER(F480),F480&lt;TODAY()),"Delayed","In Progress")
)
)
)</f>
        <v/>
      </c>
      <c r="I480" s="76"/>
      <c r="J480" s="76"/>
      <c r="K480" s="76"/>
      <c r="L480" s="76"/>
      <c r="M480" s="80"/>
      <c r="N480" s="96"/>
    </row>
    <row r="481" customFormat="false" ht="22.5" hidden="false" customHeight="true" outlineLevel="0" collapsed="false">
      <c r="A481" s="94"/>
      <c r="B481" s="95"/>
      <c r="C481" s="84"/>
      <c r="D481" s="76"/>
      <c r="E481" s="77"/>
      <c r="F481" s="77"/>
      <c r="G481" s="78"/>
      <c r="H481" s="76" t="str">
        <f aca="true">IF(G481="","",IF(G481=1,"Completed",
IF(G481=0,"Not Started",
IF(AND(F481&lt;&gt;"",ISNUMBER(F481),F481&lt;TODAY()),"Delayed","In Progress")
)
)
)</f>
        <v/>
      </c>
      <c r="I481" s="76"/>
      <c r="J481" s="76"/>
      <c r="K481" s="76"/>
      <c r="L481" s="76"/>
      <c r="M481" s="80"/>
      <c r="N481" s="96"/>
    </row>
    <row r="482" customFormat="false" ht="22.5" hidden="false" customHeight="true" outlineLevel="0" collapsed="false">
      <c r="A482" s="94"/>
      <c r="B482" s="95"/>
      <c r="C482" s="84"/>
      <c r="D482" s="76"/>
      <c r="E482" s="77"/>
      <c r="F482" s="77"/>
      <c r="G482" s="78"/>
      <c r="H482" s="76" t="str">
        <f aca="true">IF(G482="","",IF(G482=1,"Completed",
IF(G482=0,"Not Started",
IF(AND(F482&lt;&gt;"",ISNUMBER(F482),F482&lt;TODAY()),"Delayed","In Progress")
)
)
)</f>
        <v/>
      </c>
      <c r="I482" s="76"/>
      <c r="J482" s="76"/>
      <c r="K482" s="76"/>
      <c r="L482" s="76"/>
      <c r="M482" s="80"/>
      <c r="N482" s="96"/>
    </row>
    <row r="483" customFormat="false" ht="22.5" hidden="false" customHeight="true" outlineLevel="0" collapsed="false">
      <c r="A483" s="94"/>
      <c r="B483" s="95"/>
      <c r="C483" s="84"/>
      <c r="D483" s="76"/>
      <c r="E483" s="77"/>
      <c r="F483" s="77"/>
      <c r="G483" s="78"/>
      <c r="H483" s="76" t="str">
        <f aca="true">IF(G483="","",IF(G483=1,"Completed",
IF(G483=0,"Not Started",
IF(AND(F483&lt;&gt;"",ISNUMBER(F483),F483&lt;TODAY()),"Delayed","In Progress")
)
)
)</f>
        <v/>
      </c>
      <c r="I483" s="76"/>
      <c r="J483" s="76"/>
      <c r="K483" s="76"/>
      <c r="L483" s="76"/>
      <c r="M483" s="80"/>
      <c r="N483" s="96"/>
    </row>
    <row r="484" customFormat="false" ht="22.5" hidden="false" customHeight="true" outlineLevel="0" collapsed="false">
      <c r="A484" s="94"/>
      <c r="B484" s="95"/>
      <c r="C484" s="84"/>
      <c r="D484" s="76"/>
      <c r="E484" s="77"/>
      <c r="F484" s="77"/>
      <c r="G484" s="78"/>
      <c r="H484" s="76" t="str">
        <f aca="true">IF(G484="","",IF(G484=1,"Completed",
IF(G484=0,"Not Started",
IF(AND(F484&lt;&gt;"",ISNUMBER(F484),F484&lt;TODAY()),"Delayed","In Progress")
)
)
)</f>
        <v/>
      </c>
      <c r="I484" s="76"/>
      <c r="J484" s="76"/>
      <c r="K484" s="76"/>
      <c r="L484" s="76"/>
      <c r="M484" s="80"/>
      <c r="N484" s="96"/>
    </row>
    <row r="485" customFormat="false" ht="22.5" hidden="false" customHeight="true" outlineLevel="0" collapsed="false">
      <c r="A485" s="94"/>
      <c r="B485" s="95"/>
      <c r="C485" s="84"/>
      <c r="D485" s="76"/>
      <c r="E485" s="77"/>
      <c r="F485" s="77"/>
      <c r="G485" s="78"/>
      <c r="H485" s="76" t="str">
        <f aca="true">IF(G485="","",IF(G485=1,"Completed",
IF(G485=0,"Not Started",
IF(AND(F485&lt;&gt;"",ISNUMBER(F485),F485&lt;TODAY()),"Delayed","In Progress")
)
)
)</f>
        <v/>
      </c>
      <c r="I485" s="76"/>
      <c r="J485" s="76"/>
      <c r="K485" s="76"/>
      <c r="L485" s="76"/>
      <c r="M485" s="80"/>
      <c r="N485" s="96"/>
    </row>
    <row r="486" customFormat="false" ht="22.5" hidden="false" customHeight="true" outlineLevel="0" collapsed="false">
      <c r="A486" s="94"/>
      <c r="B486" s="95"/>
      <c r="C486" s="84"/>
      <c r="D486" s="76"/>
      <c r="E486" s="77"/>
      <c r="F486" s="77"/>
      <c r="G486" s="78"/>
      <c r="H486" s="76" t="str">
        <f aca="true">IF(G486="","",IF(G486=1,"Completed",
IF(G486=0,"Not Started",
IF(AND(F486&lt;&gt;"",ISNUMBER(F486),F486&lt;TODAY()),"Delayed","In Progress")
)
)
)</f>
        <v/>
      </c>
      <c r="I486" s="76"/>
      <c r="J486" s="76"/>
      <c r="K486" s="76"/>
      <c r="L486" s="76"/>
      <c r="M486" s="80"/>
      <c r="N486" s="96"/>
    </row>
    <row r="487" customFormat="false" ht="22.5" hidden="false" customHeight="true" outlineLevel="0" collapsed="false">
      <c r="A487" s="94"/>
      <c r="B487" s="95"/>
      <c r="C487" s="84"/>
      <c r="D487" s="76"/>
      <c r="E487" s="77"/>
      <c r="F487" s="77"/>
      <c r="G487" s="78"/>
      <c r="H487" s="76" t="str">
        <f aca="true">IF(G487="","",IF(G487=1,"Completed",
IF(G487=0,"Not Started",
IF(AND(F487&lt;&gt;"",ISNUMBER(F487),F487&lt;TODAY()),"Delayed","In Progress")
)
)
)</f>
        <v/>
      </c>
      <c r="I487" s="76"/>
      <c r="J487" s="76"/>
      <c r="K487" s="76"/>
      <c r="L487" s="76"/>
      <c r="M487" s="80"/>
      <c r="N487" s="96"/>
    </row>
    <row r="488" customFormat="false" ht="22.5" hidden="false" customHeight="true" outlineLevel="0" collapsed="false">
      <c r="A488" s="94"/>
      <c r="B488" s="95"/>
      <c r="C488" s="84"/>
      <c r="D488" s="76"/>
      <c r="E488" s="77"/>
      <c r="F488" s="77"/>
      <c r="G488" s="78"/>
      <c r="H488" s="76" t="str">
        <f aca="true">IF(G488="","",IF(G488=1,"Completed",
IF(G488=0,"Not Started",
IF(AND(F488&lt;&gt;"",ISNUMBER(F488),F488&lt;TODAY()),"Delayed","In Progress")
)
)
)</f>
        <v/>
      </c>
      <c r="I488" s="76"/>
      <c r="J488" s="76"/>
      <c r="K488" s="76"/>
      <c r="L488" s="76"/>
      <c r="M488" s="80"/>
      <c r="N488" s="96"/>
    </row>
    <row r="489" customFormat="false" ht="22.5" hidden="false" customHeight="true" outlineLevel="0" collapsed="false">
      <c r="A489" s="94"/>
      <c r="B489" s="95"/>
      <c r="C489" s="84"/>
      <c r="D489" s="76"/>
      <c r="E489" s="77"/>
      <c r="F489" s="77"/>
      <c r="G489" s="78"/>
      <c r="H489" s="76" t="str">
        <f aca="true">IF(G489="","",IF(G489=1,"Completed",
IF(G489=0,"Not Started",
IF(AND(F489&lt;&gt;"",ISNUMBER(F489),F489&lt;TODAY()),"Delayed","In Progress")
)
)
)</f>
        <v/>
      </c>
      <c r="I489" s="76"/>
      <c r="J489" s="76"/>
      <c r="K489" s="76"/>
      <c r="L489" s="76"/>
      <c r="M489" s="80"/>
      <c r="N489" s="96"/>
    </row>
    <row r="490" customFormat="false" ht="22.5" hidden="false" customHeight="true" outlineLevel="0" collapsed="false">
      <c r="A490" s="94"/>
      <c r="B490" s="95"/>
      <c r="C490" s="84"/>
      <c r="D490" s="76"/>
      <c r="E490" s="77"/>
      <c r="F490" s="77"/>
      <c r="G490" s="78"/>
      <c r="H490" s="76" t="str">
        <f aca="true">IF(G490="","",IF(G490=1,"Completed",
IF(G490=0,"Not Started",
IF(AND(F490&lt;&gt;"",ISNUMBER(F490),F490&lt;TODAY()),"Delayed","In Progress")
)
)
)</f>
        <v/>
      </c>
      <c r="I490" s="76"/>
      <c r="J490" s="76"/>
      <c r="K490" s="76"/>
      <c r="L490" s="76"/>
      <c r="M490" s="80"/>
      <c r="N490" s="96"/>
    </row>
    <row r="491" customFormat="false" ht="22.5" hidden="false" customHeight="true" outlineLevel="0" collapsed="false">
      <c r="A491" s="94"/>
      <c r="B491" s="95"/>
      <c r="C491" s="84"/>
      <c r="D491" s="76"/>
      <c r="E491" s="77"/>
      <c r="F491" s="77"/>
      <c r="G491" s="78"/>
      <c r="H491" s="76" t="str">
        <f aca="true">IF(G491="","",IF(G491=1,"Completed",
IF(G491=0,"Not Started",
IF(AND(F491&lt;&gt;"",ISNUMBER(F491),F491&lt;TODAY()),"Delayed","In Progress")
)
)
)</f>
        <v/>
      </c>
      <c r="I491" s="76"/>
      <c r="J491" s="76"/>
      <c r="K491" s="76"/>
      <c r="L491" s="76"/>
      <c r="M491" s="80"/>
      <c r="N491" s="96"/>
    </row>
    <row r="492" customFormat="false" ht="22.5" hidden="false" customHeight="true" outlineLevel="0" collapsed="false">
      <c r="A492" s="94"/>
      <c r="B492" s="95"/>
      <c r="C492" s="84"/>
      <c r="D492" s="76"/>
      <c r="E492" s="77"/>
      <c r="F492" s="77"/>
      <c r="G492" s="78"/>
      <c r="H492" s="76" t="str">
        <f aca="true">IF(G492="","",IF(G492=1,"Completed",
IF(G492=0,"Not Started",
IF(AND(F492&lt;&gt;"",ISNUMBER(F492),F492&lt;TODAY()),"Delayed","In Progress")
)
)
)</f>
        <v/>
      </c>
      <c r="I492" s="76"/>
      <c r="J492" s="76"/>
      <c r="K492" s="76"/>
      <c r="L492" s="76"/>
      <c r="M492" s="80"/>
      <c r="N492" s="96"/>
    </row>
    <row r="493" customFormat="false" ht="22.5" hidden="false" customHeight="true" outlineLevel="0" collapsed="false">
      <c r="A493" s="94"/>
      <c r="B493" s="95"/>
      <c r="C493" s="84"/>
      <c r="D493" s="76"/>
      <c r="E493" s="77"/>
      <c r="F493" s="77"/>
      <c r="G493" s="78"/>
      <c r="H493" s="76" t="str">
        <f aca="true">IF(G493="","",IF(G493=1,"Completed",
IF(G493=0,"Not Started",
IF(AND(F493&lt;&gt;"",ISNUMBER(F493),F493&lt;TODAY()),"Delayed","In Progress")
)
)
)</f>
        <v/>
      </c>
      <c r="I493" s="76"/>
      <c r="J493" s="76"/>
      <c r="K493" s="76"/>
      <c r="L493" s="76"/>
      <c r="M493" s="80"/>
      <c r="N493" s="96"/>
    </row>
    <row r="494" customFormat="false" ht="22.5" hidden="false" customHeight="true" outlineLevel="0" collapsed="false">
      <c r="A494" s="94"/>
      <c r="B494" s="95"/>
      <c r="C494" s="84"/>
      <c r="D494" s="76"/>
      <c r="E494" s="77"/>
      <c r="F494" s="77"/>
      <c r="G494" s="78"/>
      <c r="H494" s="76" t="str">
        <f aca="true">IF(G494="","",IF(G494=1,"Completed",
IF(G494=0,"Not Started",
IF(AND(F494&lt;&gt;"",ISNUMBER(F494),F494&lt;TODAY()),"Delayed","In Progress")
)
)
)</f>
        <v/>
      </c>
      <c r="I494" s="76"/>
      <c r="J494" s="76"/>
      <c r="K494" s="76"/>
      <c r="L494" s="76"/>
      <c r="M494" s="80"/>
      <c r="N494" s="96"/>
    </row>
    <row r="495" customFormat="false" ht="22.5" hidden="false" customHeight="true" outlineLevel="0" collapsed="false">
      <c r="A495" s="94"/>
      <c r="B495" s="95"/>
      <c r="C495" s="84"/>
      <c r="D495" s="76"/>
      <c r="E495" s="77"/>
      <c r="F495" s="77"/>
      <c r="G495" s="78"/>
      <c r="H495" s="76" t="str">
        <f aca="true">IF(G495="","",IF(G495=1,"Completed",
IF(G495=0,"Not Started",
IF(AND(F495&lt;&gt;"",ISNUMBER(F495),F495&lt;TODAY()),"Delayed","In Progress")
)
)
)</f>
        <v/>
      </c>
      <c r="I495" s="76"/>
      <c r="J495" s="76"/>
      <c r="K495" s="76"/>
      <c r="L495" s="76"/>
      <c r="M495" s="80"/>
      <c r="N495" s="96"/>
    </row>
    <row r="496" customFormat="false" ht="22.5" hidden="false" customHeight="true" outlineLevel="0" collapsed="false">
      <c r="A496" s="94"/>
      <c r="B496" s="95"/>
      <c r="C496" s="84"/>
      <c r="D496" s="76"/>
      <c r="E496" s="77"/>
      <c r="F496" s="77"/>
      <c r="G496" s="78"/>
      <c r="H496" s="76" t="str">
        <f aca="true">IF(G496="","",IF(G496=1,"Completed",
IF(G496=0,"Not Started",
IF(AND(F496&lt;&gt;"",ISNUMBER(F496),F496&lt;TODAY()),"Delayed","In Progress")
)
)
)</f>
        <v/>
      </c>
      <c r="I496" s="76"/>
      <c r="J496" s="76"/>
      <c r="K496" s="76"/>
      <c r="L496" s="76"/>
      <c r="M496" s="80"/>
      <c r="N496" s="96"/>
    </row>
    <row r="497" customFormat="false" ht="22.5" hidden="false" customHeight="true" outlineLevel="0" collapsed="false">
      <c r="A497" s="94"/>
      <c r="B497" s="95"/>
      <c r="C497" s="84"/>
      <c r="D497" s="76"/>
      <c r="E497" s="77"/>
      <c r="F497" s="77"/>
      <c r="G497" s="78"/>
      <c r="H497" s="76" t="str">
        <f aca="true">IF(G497="","",IF(G497=1,"Completed",
IF(G497=0,"Not Started",
IF(AND(F497&lt;&gt;"",ISNUMBER(F497),F497&lt;TODAY()),"Delayed","In Progress")
)
)
)</f>
        <v/>
      </c>
      <c r="I497" s="76"/>
      <c r="J497" s="76"/>
      <c r="K497" s="76"/>
      <c r="L497" s="76"/>
      <c r="M497" s="80"/>
      <c r="N497" s="96"/>
    </row>
    <row r="498" customFormat="false" ht="22.5" hidden="false" customHeight="true" outlineLevel="0" collapsed="false">
      <c r="A498" s="94"/>
      <c r="B498" s="95"/>
      <c r="C498" s="84"/>
      <c r="D498" s="76"/>
      <c r="E498" s="77"/>
      <c r="F498" s="77"/>
      <c r="G498" s="78"/>
      <c r="H498" s="76" t="str">
        <f aca="true">IF(G498="","",IF(G498=1,"Completed",
IF(G498=0,"Not Started",
IF(AND(F498&lt;&gt;"",ISNUMBER(F498),F498&lt;TODAY()),"Delayed","In Progress")
)
)
)</f>
        <v/>
      </c>
      <c r="I498" s="76"/>
      <c r="J498" s="76"/>
      <c r="K498" s="76"/>
      <c r="L498" s="76"/>
      <c r="M498" s="80"/>
      <c r="N498" s="96"/>
    </row>
    <row r="499" customFormat="false" ht="22.5" hidden="false" customHeight="true" outlineLevel="0" collapsed="false">
      <c r="A499" s="94"/>
      <c r="B499" s="95"/>
      <c r="C499" s="84"/>
      <c r="D499" s="76"/>
      <c r="E499" s="77"/>
      <c r="F499" s="77"/>
      <c r="G499" s="78"/>
      <c r="H499" s="76" t="str">
        <f aca="true">IF(G499="","",IF(G499=1,"Completed",
IF(G499=0,"Not Started",
IF(AND(F499&lt;&gt;"",ISNUMBER(F499),F499&lt;TODAY()),"Delayed","In Progress")
)
)
)</f>
        <v/>
      </c>
      <c r="I499" s="76"/>
      <c r="J499" s="76"/>
      <c r="K499" s="76"/>
      <c r="L499" s="76"/>
      <c r="M499" s="80"/>
      <c r="N499" s="96"/>
    </row>
    <row r="500" customFormat="false" ht="22.5" hidden="false" customHeight="true" outlineLevel="0" collapsed="false">
      <c r="A500" s="94"/>
      <c r="B500" s="95"/>
      <c r="C500" s="84"/>
      <c r="D500" s="76"/>
      <c r="E500" s="77"/>
      <c r="F500" s="77"/>
      <c r="G500" s="78"/>
      <c r="H500" s="76" t="str">
        <f aca="true">IF(G500="","",IF(G500=1,"Completed",
IF(G500=0,"Not Started",
IF(AND(F500&lt;&gt;"",ISNUMBER(F500),F500&lt;TODAY()),"Delayed","In Progress")
)
)
)</f>
        <v/>
      </c>
      <c r="I500" s="76"/>
      <c r="J500" s="76"/>
      <c r="K500" s="76"/>
      <c r="L500" s="76"/>
      <c r="M500" s="80"/>
      <c r="N500" s="96"/>
    </row>
    <row r="501" customFormat="false" ht="22.5" hidden="false" customHeight="true" outlineLevel="0" collapsed="false">
      <c r="A501" s="94"/>
      <c r="B501" s="95"/>
      <c r="C501" s="84"/>
      <c r="D501" s="76"/>
      <c r="E501" s="77"/>
      <c r="F501" s="77"/>
      <c r="G501" s="78"/>
      <c r="H501" s="76" t="str">
        <f aca="true">IF(G501="","",IF(G501=1,"Completed",
IF(G501=0,"Not Started",
IF(AND(F501&lt;&gt;"",ISNUMBER(F501),F501&lt;TODAY()),"Delayed","In Progress")
)
)
)</f>
        <v/>
      </c>
      <c r="I501" s="76"/>
      <c r="J501" s="76"/>
      <c r="K501" s="76"/>
      <c r="L501" s="76"/>
      <c r="M501" s="80"/>
      <c r="N501" s="96"/>
    </row>
    <row r="502" customFormat="false" ht="22.5" hidden="false" customHeight="true" outlineLevel="0" collapsed="false">
      <c r="A502" s="94"/>
      <c r="B502" s="95"/>
      <c r="C502" s="84"/>
      <c r="D502" s="76"/>
      <c r="E502" s="77"/>
      <c r="F502" s="77"/>
      <c r="G502" s="78"/>
      <c r="H502" s="76" t="str">
        <f aca="true">IF(G502="","",IF(G502=1,"Completed",
IF(G502=0,"Not Started",
IF(AND(F502&lt;&gt;"",ISNUMBER(F502),F502&lt;TODAY()),"Delayed","In Progress")
)
)
)</f>
        <v/>
      </c>
      <c r="I502" s="76"/>
      <c r="J502" s="76"/>
      <c r="K502" s="76"/>
      <c r="L502" s="76"/>
      <c r="M502" s="80"/>
      <c r="N502" s="96"/>
    </row>
    <row r="503" customFormat="false" ht="22.5" hidden="false" customHeight="true" outlineLevel="0" collapsed="false">
      <c r="A503" s="94"/>
      <c r="B503" s="95"/>
      <c r="C503" s="84"/>
      <c r="D503" s="76"/>
      <c r="E503" s="77"/>
      <c r="F503" s="77"/>
      <c r="G503" s="78"/>
      <c r="H503" s="76" t="str">
        <f aca="true">IF(G503="","",IF(G503=1,"Completed",
IF(G503=0,"Not Started",
IF(AND(F503&lt;&gt;"",ISNUMBER(F503),F503&lt;TODAY()),"Delayed","In Progress")
)
)
)</f>
        <v/>
      </c>
      <c r="I503" s="76"/>
      <c r="J503" s="76"/>
      <c r="K503" s="76"/>
      <c r="L503" s="76"/>
      <c r="M503" s="80"/>
      <c r="N503" s="96"/>
    </row>
    <row r="504" customFormat="false" ht="22.5" hidden="false" customHeight="true" outlineLevel="0" collapsed="false">
      <c r="A504" s="94"/>
      <c r="B504" s="95"/>
      <c r="C504" s="84"/>
      <c r="D504" s="76"/>
      <c r="E504" s="77"/>
      <c r="F504" s="77"/>
      <c r="G504" s="78"/>
      <c r="H504" s="76" t="str">
        <f aca="true">IF(G504="","",IF(G504=1,"Completed",
IF(G504=0,"Not Started",
IF(AND(F504&lt;&gt;"",ISNUMBER(F504),F504&lt;TODAY()),"Delayed","In Progress")
)
)
)</f>
        <v/>
      </c>
      <c r="I504" s="76"/>
      <c r="J504" s="76"/>
      <c r="K504" s="76"/>
      <c r="L504" s="76"/>
      <c r="M504" s="80"/>
      <c r="N504" s="96"/>
    </row>
    <row r="505" customFormat="false" ht="22.5" hidden="false" customHeight="true" outlineLevel="0" collapsed="false">
      <c r="A505" s="94"/>
      <c r="B505" s="95"/>
      <c r="C505" s="84"/>
      <c r="D505" s="76"/>
      <c r="E505" s="77"/>
      <c r="F505" s="77"/>
      <c r="G505" s="78"/>
      <c r="H505" s="76" t="str">
        <f aca="true">IF(G505="","",IF(G505=1,"Completed",
IF(G505=0,"Not Started",
IF(AND(F505&lt;&gt;"",ISNUMBER(F505),F505&lt;TODAY()),"Delayed","In Progress")
)
)
)</f>
        <v/>
      </c>
      <c r="I505" s="76"/>
      <c r="J505" s="76"/>
      <c r="K505" s="76"/>
      <c r="L505" s="76"/>
      <c r="M505" s="80"/>
      <c r="N505" s="96"/>
    </row>
    <row r="506" customFormat="false" ht="22.5" hidden="false" customHeight="true" outlineLevel="0" collapsed="false">
      <c r="A506" s="94"/>
      <c r="B506" s="95"/>
      <c r="C506" s="84"/>
      <c r="D506" s="76"/>
      <c r="E506" s="77"/>
      <c r="F506" s="77"/>
      <c r="G506" s="78"/>
      <c r="H506" s="76" t="str">
        <f aca="true">IF(G506="","",IF(G506=1,"Completed",
IF(G506=0,"Not Started",
IF(AND(F506&lt;&gt;"",ISNUMBER(F506),F506&lt;TODAY()),"Delayed","In Progress")
)
)
)</f>
        <v/>
      </c>
      <c r="I506" s="76"/>
      <c r="J506" s="76"/>
      <c r="K506" s="76"/>
      <c r="L506" s="76"/>
      <c r="M506" s="80"/>
      <c r="N506" s="96"/>
    </row>
    <row r="507" customFormat="false" ht="22.5" hidden="false" customHeight="true" outlineLevel="0" collapsed="false">
      <c r="A507" s="94"/>
      <c r="B507" s="95"/>
      <c r="C507" s="84"/>
      <c r="D507" s="76"/>
      <c r="E507" s="77"/>
      <c r="F507" s="77"/>
      <c r="G507" s="78"/>
      <c r="H507" s="76" t="str">
        <f aca="true">IF(G507="","",IF(G507=1,"Completed",
IF(G507=0,"Not Started",
IF(AND(F507&lt;&gt;"",ISNUMBER(F507),F507&lt;TODAY()),"Delayed","In Progress")
)
)
)</f>
        <v/>
      </c>
      <c r="I507" s="76"/>
      <c r="J507" s="76"/>
      <c r="K507" s="76"/>
      <c r="L507" s="76"/>
      <c r="M507" s="80"/>
      <c r="N507" s="96"/>
    </row>
    <row r="508" customFormat="false" ht="22.5" hidden="false" customHeight="true" outlineLevel="0" collapsed="false">
      <c r="A508" s="94"/>
      <c r="B508" s="95"/>
      <c r="C508" s="84"/>
      <c r="D508" s="76"/>
      <c r="E508" s="77"/>
      <c r="F508" s="77"/>
      <c r="G508" s="78"/>
      <c r="H508" s="76" t="str">
        <f aca="true">IF(G508="","",IF(G508=1,"Completed",
IF(G508=0,"Not Started",
IF(AND(F508&lt;&gt;"",ISNUMBER(F508),F508&lt;TODAY()),"Delayed","In Progress")
)
)
)</f>
        <v/>
      </c>
      <c r="I508" s="76"/>
      <c r="J508" s="76"/>
      <c r="K508" s="76"/>
      <c r="L508" s="76"/>
      <c r="M508" s="80"/>
      <c r="N508" s="96"/>
    </row>
    <row r="509" customFormat="false" ht="22.5" hidden="false" customHeight="true" outlineLevel="0" collapsed="false">
      <c r="A509" s="94"/>
      <c r="B509" s="95"/>
      <c r="C509" s="84"/>
      <c r="D509" s="76"/>
      <c r="E509" s="77"/>
      <c r="F509" s="77"/>
      <c r="G509" s="78"/>
      <c r="H509" s="76" t="str">
        <f aca="true">IF(G509="","",IF(G509=1,"Completed",
IF(G509=0,"Not Started",
IF(AND(F509&lt;&gt;"",ISNUMBER(F509),F509&lt;TODAY()),"Delayed","In Progress")
)
)
)</f>
        <v/>
      </c>
      <c r="I509" s="76"/>
      <c r="J509" s="76"/>
      <c r="K509" s="76"/>
      <c r="L509" s="76"/>
      <c r="M509" s="80"/>
      <c r="N509" s="96"/>
    </row>
    <row r="510" customFormat="false" ht="22.5" hidden="false" customHeight="true" outlineLevel="0" collapsed="false">
      <c r="A510" s="94"/>
      <c r="B510" s="95"/>
      <c r="C510" s="84"/>
      <c r="D510" s="76"/>
      <c r="E510" s="77"/>
      <c r="F510" s="77"/>
      <c r="G510" s="78"/>
      <c r="H510" s="76" t="str">
        <f aca="true">IF(G510="","",IF(G510=1,"Completed",
IF(G510=0,"Not Started",
IF(AND(F510&lt;&gt;"",ISNUMBER(F510),F510&lt;TODAY()),"Delayed","In Progress")
)
)
)</f>
        <v/>
      </c>
      <c r="I510" s="76"/>
      <c r="J510" s="76"/>
      <c r="K510" s="76"/>
      <c r="L510" s="76"/>
      <c r="M510" s="80"/>
      <c r="N510" s="96"/>
    </row>
    <row r="511" customFormat="false" ht="22.5" hidden="false" customHeight="true" outlineLevel="0" collapsed="false">
      <c r="A511" s="94"/>
      <c r="B511" s="95"/>
      <c r="C511" s="84"/>
      <c r="D511" s="76"/>
      <c r="E511" s="77"/>
      <c r="F511" s="77"/>
      <c r="G511" s="78"/>
      <c r="H511" s="76" t="str">
        <f aca="true">IF(G511="","",IF(G511=1,"Completed",
IF(G511=0,"Not Started",
IF(AND(F511&lt;&gt;"",ISNUMBER(F511),F511&lt;TODAY()),"Delayed","In Progress")
)
)
)</f>
        <v/>
      </c>
      <c r="I511" s="76"/>
      <c r="J511" s="76"/>
      <c r="K511" s="76"/>
      <c r="L511" s="76"/>
      <c r="M511" s="80"/>
      <c r="N511" s="96"/>
    </row>
    <row r="512" customFormat="false" ht="22.5" hidden="false" customHeight="true" outlineLevel="0" collapsed="false">
      <c r="A512" s="94"/>
      <c r="B512" s="95"/>
      <c r="C512" s="84"/>
      <c r="D512" s="76"/>
      <c r="E512" s="77"/>
      <c r="F512" s="77"/>
      <c r="G512" s="78"/>
      <c r="H512" s="76" t="str">
        <f aca="true">IF(G512="","",IF(G512=1,"Completed",
IF(G512=0,"Not Started",
IF(AND(F512&lt;&gt;"",ISNUMBER(F512),F512&lt;TODAY()),"Delayed","In Progress")
)
)
)</f>
        <v/>
      </c>
      <c r="I512" s="76"/>
      <c r="J512" s="76"/>
      <c r="K512" s="76"/>
      <c r="L512" s="76"/>
      <c r="M512" s="80"/>
      <c r="N512" s="96"/>
    </row>
    <row r="513" customFormat="false" ht="22.5" hidden="false" customHeight="true" outlineLevel="0" collapsed="false">
      <c r="A513" s="94"/>
      <c r="B513" s="95"/>
      <c r="C513" s="84"/>
      <c r="D513" s="76"/>
      <c r="E513" s="77"/>
      <c r="F513" s="77"/>
      <c r="G513" s="78"/>
      <c r="H513" s="76" t="str">
        <f aca="true">IF(G513="","",IF(G513=1,"Completed",
IF(G513=0,"Not Started",
IF(AND(F513&lt;&gt;"",ISNUMBER(F513),F513&lt;TODAY()),"Delayed","In Progress")
)
)
)</f>
        <v/>
      </c>
      <c r="I513" s="76"/>
      <c r="J513" s="76"/>
      <c r="K513" s="76"/>
      <c r="L513" s="76"/>
      <c r="M513" s="80"/>
      <c r="N513" s="96"/>
    </row>
    <row r="514" customFormat="false" ht="22.5" hidden="false" customHeight="true" outlineLevel="0" collapsed="false">
      <c r="A514" s="94"/>
      <c r="B514" s="95"/>
      <c r="C514" s="84"/>
      <c r="D514" s="76"/>
      <c r="E514" s="77"/>
      <c r="F514" s="77"/>
      <c r="G514" s="78"/>
      <c r="H514" s="76" t="str">
        <f aca="true">IF(G514="","",IF(G514=1,"Completed",
IF(G514=0,"Not Started",
IF(AND(F514&lt;&gt;"",ISNUMBER(F514),F514&lt;TODAY()),"Delayed","In Progress")
)
)
)</f>
        <v/>
      </c>
      <c r="I514" s="76"/>
      <c r="J514" s="76"/>
      <c r="K514" s="76"/>
      <c r="L514" s="76"/>
      <c r="M514" s="80"/>
      <c r="N514" s="96"/>
    </row>
    <row r="515" customFormat="false" ht="22.5" hidden="false" customHeight="true" outlineLevel="0" collapsed="false">
      <c r="A515" s="94"/>
      <c r="B515" s="95"/>
      <c r="C515" s="84"/>
      <c r="D515" s="76"/>
      <c r="E515" s="77"/>
      <c r="F515" s="77"/>
      <c r="G515" s="78"/>
      <c r="H515" s="76" t="str">
        <f aca="true">IF(G515="","",IF(G515=1,"Completed",
IF(G515=0,"Not Started",
IF(AND(F515&lt;&gt;"",ISNUMBER(F515),F515&lt;TODAY()),"Delayed","In Progress")
)
)
)</f>
        <v/>
      </c>
      <c r="I515" s="76"/>
      <c r="J515" s="76"/>
      <c r="K515" s="76"/>
      <c r="L515" s="76"/>
      <c r="M515" s="80"/>
      <c r="N515" s="96"/>
    </row>
    <row r="516" customFormat="false" ht="22.5" hidden="false" customHeight="true" outlineLevel="0" collapsed="false">
      <c r="A516" s="94"/>
      <c r="B516" s="95"/>
      <c r="C516" s="84"/>
      <c r="D516" s="76"/>
      <c r="E516" s="77"/>
      <c r="F516" s="77"/>
      <c r="G516" s="78"/>
      <c r="H516" s="76" t="str">
        <f aca="true">IF(G516="","",IF(G516=1,"Completed",
IF(G516=0,"Not Started",
IF(AND(F516&lt;&gt;"",ISNUMBER(F516),F516&lt;TODAY()),"Delayed","In Progress")
)
)
)</f>
        <v/>
      </c>
      <c r="I516" s="76"/>
      <c r="J516" s="76"/>
      <c r="K516" s="76"/>
      <c r="L516" s="76"/>
      <c r="M516" s="80"/>
      <c r="N516" s="96"/>
    </row>
    <row r="517" customFormat="false" ht="22.5" hidden="false" customHeight="true" outlineLevel="0" collapsed="false">
      <c r="A517" s="94"/>
      <c r="B517" s="95"/>
      <c r="C517" s="84"/>
      <c r="D517" s="76"/>
      <c r="E517" s="77"/>
      <c r="F517" s="77"/>
      <c r="G517" s="78"/>
      <c r="H517" s="76" t="str">
        <f aca="true">IF(G517="","",IF(G517=1,"Completed",
IF(G517=0,"Not Started",
IF(AND(F517&lt;&gt;"",ISNUMBER(F517),F517&lt;TODAY()),"Delayed","In Progress")
)
)
)</f>
        <v/>
      </c>
      <c r="I517" s="76"/>
      <c r="J517" s="76"/>
      <c r="K517" s="76"/>
      <c r="L517" s="76"/>
      <c r="M517" s="80"/>
      <c r="N517" s="96"/>
    </row>
    <row r="518" customFormat="false" ht="22.5" hidden="false" customHeight="true" outlineLevel="0" collapsed="false">
      <c r="A518" s="94"/>
      <c r="B518" s="95"/>
      <c r="C518" s="84"/>
      <c r="D518" s="76"/>
      <c r="E518" s="77"/>
      <c r="F518" s="77"/>
      <c r="G518" s="78"/>
      <c r="H518" s="76" t="str">
        <f aca="true">IF(G518="","",IF(G518=1,"Completed",
  IF(G518=0,"Not Started",
   IF(AND(F518&lt;&gt;"",ISNUMBER(F518),F518&lt;TODAY()),"Delayed","In Progress")
  )
 )
)</f>
        <v/>
      </c>
      <c r="I518" s="76"/>
      <c r="J518" s="76"/>
      <c r="K518" s="76"/>
      <c r="L518" s="76"/>
      <c r="M518" s="80"/>
      <c r="N518" s="96"/>
    </row>
    <row r="519" customFormat="false" ht="22.5" hidden="false" customHeight="true" outlineLevel="0" collapsed="false">
      <c r="A519" s="94"/>
      <c r="B519" s="95"/>
      <c r="C519" s="84"/>
      <c r="D519" s="76"/>
      <c r="E519" s="77"/>
      <c r="F519" s="77"/>
      <c r="G519" s="78"/>
      <c r="H519" s="76" t="str">
        <f aca="true">IF(G519="","",IF(G519=1,"Completed",
IF(G519=0,"Not Started",
IF(AND(F519&lt;&gt;"",ISNUMBER(F519),F519&lt;TODAY()),"Delayed","In Progress")
)
)
)</f>
        <v/>
      </c>
      <c r="I519" s="76"/>
      <c r="J519" s="76"/>
      <c r="K519" s="76"/>
      <c r="L519" s="76"/>
      <c r="M519" s="80"/>
      <c r="N519" s="96"/>
    </row>
    <row r="520" customFormat="false" ht="22.5" hidden="false" customHeight="true" outlineLevel="0" collapsed="false">
      <c r="A520" s="94"/>
      <c r="B520" s="95"/>
      <c r="C520" s="84"/>
      <c r="D520" s="76"/>
      <c r="E520" s="77"/>
      <c r="F520" s="77"/>
      <c r="G520" s="78"/>
      <c r="H520" s="76" t="str">
        <f aca="true">IF(G520="","",IF(G520=1,"Completed",
IF(G520=0,"Not Started",
IF(AND(F520&lt;&gt;"",ISNUMBER(F520),F520&lt;TODAY()),"Delayed","In Progress")
)
)
)</f>
        <v/>
      </c>
      <c r="I520" s="76"/>
      <c r="J520" s="76"/>
      <c r="K520" s="76"/>
      <c r="L520" s="76"/>
      <c r="M520" s="80"/>
      <c r="N520" s="96"/>
    </row>
    <row r="521" customFormat="false" ht="22.5" hidden="false" customHeight="true" outlineLevel="0" collapsed="false">
      <c r="A521" s="94"/>
      <c r="B521" s="95"/>
      <c r="C521" s="84"/>
      <c r="D521" s="76"/>
      <c r="E521" s="77"/>
      <c r="F521" s="77"/>
      <c r="G521" s="78"/>
      <c r="H521" s="76" t="str">
        <f aca="true">IF(G521="","",IF(G521=1,"Completed",
IF(G521=0,"Not Started",
IF(AND(F521&lt;&gt;"",ISNUMBER(F521),F521&lt;TODAY()),"Delayed","In Progress")
)
)
)</f>
        <v/>
      </c>
      <c r="I521" s="76"/>
      <c r="J521" s="76"/>
      <c r="K521" s="76"/>
      <c r="L521" s="76"/>
      <c r="M521" s="80"/>
      <c r="N521" s="96"/>
    </row>
    <row r="522" customFormat="false" ht="22.5" hidden="false" customHeight="true" outlineLevel="0" collapsed="false">
      <c r="A522" s="94"/>
      <c r="B522" s="95"/>
      <c r="C522" s="84"/>
      <c r="D522" s="76"/>
      <c r="E522" s="77"/>
      <c r="F522" s="77"/>
      <c r="G522" s="78"/>
      <c r="H522" s="76" t="str">
        <f aca="true">IF(G522="","",IF(G522=1,"Completed",
IF(G522=0,"Not Started",
IF(AND(F522&lt;&gt;"",ISNUMBER(F522),F522&lt;TODAY()),"Delayed","In Progress")
)
)
)</f>
        <v/>
      </c>
      <c r="I522" s="76"/>
      <c r="J522" s="76"/>
      <c r="K522" s="76"/>
      <c r="L522" s="76"/>
      <c r="M522" s="80"/>
      <c r="N522" s="96"/>
    </row>
    <row r="523" customFormat="false" ht="22.5" hidden="false" customHeight="true" outlineLevel="0" collapsed="false">
      <c r="A523" s="94"/>
      <c r="B523" s="95"/>
      <c r="C523" s="84"/>
      <c r="D523" s="76"/>
      <c r="E523" s="77"/>
      <c r="F523" s="77"/>
      <c r="G523" s="78"/>
      <c r="H523" s="76" t="str">
        <f aca="true">IF(G523="","",IF(G523=1,"Completed",
IF(G523=0,"Not Started",
IF(AND(F523&lt;&gt;"",ISNUMBER(F523),F523&lt;TODAY()),"Delayed","In Progress")
)
)
)</f>
        <v/>
      </c>
      <c r="I523" s="76"/>
      <c r="J523" s="76"/>
      <c r="K523" s="76"/>
      <c r="L523" s="76"/>
      <c r="M523" s="80"/>
      <c r="N523" s="96"/>
    </row>
    <row r="524" customFormat="false" ht="22.5" hidden="false" customHeight="true" outlineLevel="0" collapsed="false">
      <c r="A524" s="94"/>
      <c r="B524" s="95"/>
      <c r="C524" s="84"/>
      <c r="D524" s="76"/>
      <c r="E524" s="77"/>
      <c r="F524" s="77"/>
      <c r="G524" s="78"/>
      <c r="H524" s="76" t="str">
        <f aca="true">IF(G524="","",IF(G524=1,"Completed",
IF(G524=0,"Not Started",
IF(AND(F524&lt;&gt;"",ISNUMBER(F524),F524&lt;TODAY()),"Delayed","In Progress")
)
)
)</f>
        <v/>
      </c>
      <c r="I524" s="76"/>
      <c r="J524" s="76"/>
      <c r="K524" s="76"/>
      <c r="L524" s="76"/>
      <c r="M524" s="80"/>
      <c r="N524" s="96"/>
    </row>
    <row r="525" customFormat="false" ht="22.5" hidden="false" customHeight="true" outlineLevel="0" collapsed="false">
      <c r="A525" s="94"/>
      <c r="B525" s="95"/>
      <c r="C525" s="84"/>
      <c r="D525" s="76"/>
      <c r="E525" s="77"/>
      <c r="F525" s="77"/>
      <c r="G525" s="78"/>
      <c r="H525" s="76" t="str">
        <f aca="true">IF(G525="","",IF(G525=1,"Completed",
IF(G525=0,"Not Started",
IF(AND(F525&lt;&gt;"",ISNUMBER(F525),F525&lt;TODAY()),"Delayed","In Progress")
)
)
)</f>
        <v/>
      </c>
      <c r="I525" s="76"/>
      <c r="J525" s="76"/>
      <c r="K525" s="76"/>
      <c r="L525" s="76"/>
      <c r="M525" s="80"/>
      <c r="N525" s="96"/>
    </row>
    <row r="526" customFormat="false" ht="22.5" hidden="false" customHeight="true" outlineLevel="0" collapsed="false">
      <c r="A526" s="94"/>
      <c r="B526" s="95"/>
      <c r="C526" s="84"/>
      <c r="D526" s="76"/>
      <c r="E526" s="77"/>
      <c r="F526" s="77"/>
      <c r="G526" s="78"/>
      <c r="H526" s="76" t="str">
        <f aca="true">IF(G526="","",IF(G526=1,"Completed",
IF(G526=0,"Not Started",
IF(AND(F526&lt;&gt;"",ISNUMBER(F526),F526&lt;TODAY()),"Delayed","In Progress")
)
)
)</f>
        <v/>
      </c>
      <c r="I526" s="76"/>
      <c r="J526" s="76"/>
      <c r="K526" s="76"/>
      <c r="L526" s="76"/>
      <c r="M526" s="80"/>
      <c r="N526" s="96"/>
    </row>
    <row r="527" customFormat="false" ht="22.5" hidden="false" customHeight="true" outlineLevel="0" collapsed="false">
      <c r="A527" s="94"/>
      <c r="B527" s="95"/>
      <c r="C527" s="84"/>
      <c r="D527" s="76"/>
      <c r="E527" s="77"/>
      <c r="F527" s="77"/>
      <c r="G527" s="78"/>
      <c r="H527" s="76" t="str">
        <f aca="true">IF(G527="","",IF(G527=1,"Completed",
IF(G527=0,"Not Started",
IF(AND(F527&lt;&gt;"",ISNUMBER(F527),F527&lt;TODAY()),"Delayed","In Progress")
)
)
)</f>
        <v/>
      </c>
      <c r="I527" s="76"/>
      <c r="J527" s="76"/>
      <c r="K527" s="76"/>
      <c r="L527" s="76"/>
      <c r="M527" s="80"/>
      <c r="N527" s="96"/>
    </row>
    <row r="528" customFormat="false" ht="22.5" hidden="false" customHeight="true" outlineLevel="0" collapsed="false">
      <c r="A528" s="94"/>
      <c r="B528" s="95"/>
      <c r="C528" s="84"/>
      <c r="D528" s="76"/>
      <c r="E528" s="77"/>
      <c r="F528" s="77"/>
      <c r="G528" s="78"/>
      <c r="H528" s="76" t="str">
        <f aca="true">IF(G528="","",IF(G528=1,"Completed",
IF(G528=0,"Not Started",
IF(AND(F528&lt;&gt;"",ISNUMBER(F528),F528&lt;TODAY()),"Delayed","In Progress")
)
)
)</f>
        <v/>
      </c>
      <c r="I528" s="76"/>
      <c r="J528" s="76"/>
      <c r="K528" s="76"/>
      <c r="L528" s="76"/>
      <c r="M528" s="80"/>
      <c r="N528" s="96"/>
    </row>
    <row r="529" customFormat="false" ht="22.5" hidden="false" customHeight="true" outlineLevel="0" collapsed="false">
      <c r="A529" s="94"/>
      <c r="B529" s="95"/>
      <c r="C529" s="84"/>
      <c r="D529" s="76"/>
      <c r="E529" s="77"/>
      <c r="F529" s="77"/>
      <c r="G529" s="78"/>
      <c r="H529" s="76" t="str">
        <f aca="true">IF(G529="","",IF(G529=1,"Completed",
IF(G529=0,"Not Started",
IF(AND(F529&lt;&gt;"",ISNUMBER(F529),F529&lt;TODAY()),"Delayed","In Progress")
)
)
)</f>
        <v/>
      </c>
      <c r="I529" s="76"/>
      <c r="J529" s="76"/>
      <c r="K529" s="76"/>
      <c r="L529" s="76"/>
      <c r="M529" s="80"/>
      <c r="N529" s="96"/>
    </row>
    <row r="530" customFormat="false" ht="22.5" hidden="false" customHeight="true" outlineLevel="0" collapsed="false">
      <c r="A530" s="94"/>
      <c r="B530" s="95"/>
      <c r="C530" s="84"/>
      <c r="D530" s="76"/>
      <c r="E530" s="77"/>
      <c r="F530" s="77"/>
      <c r="G530" s="78"/>
      <c r="H530" s="76" t="str">
        <f aca="true">IF(G530="","",IF(G530=1,"Completed",
IF(G530=0,"Not Started",
IF(AND(F530&lt;&gt;"",ISNUMBER(F530),F530&lt;TODAY()),"Delayed","In Progress")
)
)
)</f>
        <v/>
      </c>
      <c r="I530" s="76"/>
      <c r="J530" s="76"/>
      <c r="K530" s="76"/>
      <c r="L530" s="76"/>
      <c r="M530" s="80"/>
      <c r="N530" s="96"/>
    </row>
    <row r="531" customFormat="false" ht="22.5" hidden="false" customHeight="true" outlineLevel="0" collapsed="false">
      <c r="A531" s="94"/>
      <c r="B531" s="95"/>
      <c r="C531" s="84"/>
      <c r="D531" s="76"/>
      <c r="E531" s="77"/>
      <c r="F531" s="77"/>
      <c r="G531" s="78"/>
      <c r="H531" s="76" t="str">
        <f aca="true">IF(G531="","",IF(G531=1,"Completed",
IF(G531=0,"Not Started",
IF(AND(F531&lt;&gt;"",ISNUMBER(F531),F531&lt;TODAY()),"Delayed","In Progress")
)
)
)</f>
        <v/>
      </c>
      <c r="I531" s="76"/>
      <c r="J531" s="76"/>
      <c r="K531" s="76"/>
      <c r="L531" s="76"/>
      <c r="M531" s="80"/>
      <c r="N531" s="96"/>
    </row>
    <row r="532" customFormat="false" ht="22.5" hidden="false" customHeight="true" outlineLevel="0" collapsed="false">
      <c r="A532" s="94"/>
      <c r="B532" s="95"/>
      <c r="C532" s="84"/>
      <c r="D532" s="76"/>
      <c r="E532" s="77"/>
      <c r="F532" s="77"/>
      <c r="G532" s="78"/>
      <c r="H532" s="76" t="str">
        <f aca="true">IF(G532="","",IF(G532=1,"Completed",
IF(G532=0,"Not Started",
IF(AND(F532&lt;&gt;"",ISNUMBER(F532),F532&lt;TODAY()),"Delayed","In Progress")
)
)
)</f>
        <v/>
      </c>
      <c r="I532" s="76"/>
      <c r="J532" s="76"/>
      <c r="K532" s="76"/>
      <c r="L532" s="76"/>
      <c r="M532" s="80"/>
      <c r="N532" s="96"/>
    </row>
    <row r="533" customFormat="false" ht="22.5" hidden="false" customHeight="true" outlineLevel="0" collapsed="false">
      <c r="A533" s="94"/>
      <c r="B533" s="95"/>
      <c r="C533" s="84"/>
      <c r="D533" s="76"/>
      <c r="E533" s="77"/>
      <c r="F533" s="77"/>
      <c r="G533" s="78"/>
      <c r="H533" s="76" t="str">
        <f aca="true">IF(G533="","",IF(G533=1,"Completed",
IF(G533=0,"Not Started",
IF(AND(F533&lt;&gt;"",ISNUMBER(F533),F533&lt;TODAY()),"Delayed","In Progress")
)
)
)</f>
        <v/>
      </c>
      <c r="I533" s="76"/>
      <c r="J533" s="76"/>
      <c r="K533" s="76"/>
      <c r="L533" s="76"/>
      <c r="M533" s="80"/>
      <c r="N533" s="96"/>
    </row>
    <row r="534" customFormat="false" ht="22.5" hidden="false" customHeight="true" outlineLevel="0" collapsed="false">
      <c r="A534" s="94"/>
      <c r="B534" s="95"/>
      <c r="C534" s="84"/>
      <c r="D534" s="76"/>
      <c r="E534" s="77"/>
      <c r="F534" s="77"/>
      <c r="G534" s="78"/>
      <c r="H534" s="76" t="str">
        <f aca="true">IF(G534="","",IF(G534=1,"Completed",
IF(G534=0,"Not Started",
IF(AND(F534&lt;&gt;"",ISNUMBER(F534),F534&lt;TODAY()),"Delayed","In Progress")
)
)
)</f>
        <v/>
      </c>
      <c r="I534" s="76"/>
      <c r="J534" s="76"/>
      <c r="K534" s="76"/>
      <c r="L534" s="76"/>
      <c r="M534" s="80"/>
      <c r="N534" s="96"/>
    </row>
    <row r="535" customFormat="false" ht="22.5" hidden="false" customHeight="true" outlineLevel="0" collapsed="false">
      <c r="A535" s="94"/>
      <c r="B535" s="95"/>
      <c r="C535" s="84"/>
      <c r="D535" s="76"/>
      <c r="E535" s="77"/>
      <c r="F535" s="77"/>
      <c r="G535" s="78"/>
      <c r="H535" s="76" t="str">
        <f aca="true">IF(G535="","",IF(G535=1,"Completed",
IF(G535=0,"Not Started",
IF(AND(F535&lt;&gt;"",ISNUMBER(F535),F535&lt;TODAY()),"Delayed","In Progress")
)
)
)</f>
        <v/>
      </c>
      <c r="I535" s="76"/>
      <c r="J535" s="76"/>
      <c r="K535" s="76"/>
      <c r="L535" s="76"/>
      <c r="M535" s="80"/>
      <c r="N535" s="96"/>
    </row>
    <row r="536" customFormat="false" ht="22.5" hidden="false" customHeight="true" outlineLevel="0" collapsed="false">
      <c r="A536" s="94"/>
      <c r="B536" s="95"/>
      <c r="C536" s="84"/>
      <c r="D536" s="76"/>
      <c r="E536" s="77"/>
      <c r="F536" s="77"/>
      <c r="G536" s="78"/>
      <c r="H536" s="76" t="str">
        <f aca="true">IF(G536="","",IF(G536=1,"Completed",
IF(G536=0,"Not Started",
IF(AND(F536&lt;&gt;"",ISNUMBER(F536),F536&lt;TODAY()),"Delayed","In Progress")
)
)
)</f>
        <v/>
      </c>
      <c r="I536" s="76"/>
      <c r="J536" s="76"/>
      <c r="K536" s="76"/>
      <c r="L536" s="76"/>
      <c r="M536" s="80"/>
      <c r="N536" s="96"/>
    </row>
    <row r="537" customFormat="false" ht="22.5" hidden="false" customHeight="true" outlineLevel="0" collapsed="false">
      <c r="A537" s="94"/>
      <c r="B537" s="95"/>
      <c r="C537" s="84"/>
      <c r="D537" s="76"/>
      <c r="E537" s="77"/>
      <c r="F537" s="77"/>
      <c r="G537" s="78"/>
      <c r="H537" s="76" t="str">
        <f aca="true">IF(G537="","",IF(G537=1,"Completed",
IF(G537=0,"Not Started",
IF(AND(F537&lt;&gt;"",ISNUMBER(F537),F537&lt;TODAY()),"Delayed","In Progress")
)
)
)</f>
        <v/>
      </c>
      <c r="I537" s="76"/>
      <c r="J537" s="76"/>
      <c r="K537" s="76"/>
      <c r="L537" s="76"/>
      <c r="M537" s="80"/>
      <c r="N537" s="96"/>
    </row>
    <row r="538" customFormat="false" ht="22.5" hidden="false" customHeight="true" outlineLevel="0" collapsed="false">
      <c r="A538" s="94"/>
      <c r="B538" s="95"/>
      <c r="C538" s="84"/>
      <c r="D538" s="76"/>
      <c r="E538" s="77"/>
      <c r="F538" s="77"/>
      <c r="G538" s="78"/>
      <c r="H538" s="76" t="str">
        <f aca="true">IF(G538="","",IF(G538=1,"Completed",
IF(G538=0,"Not Started",
IF(AND(F538&lt;&gt;"",ISNUMBER(F538),F538&lt;TODAY()),"Delayed","In Progress")
)
)
)</f>
        <v/>
      </c>
      <c r="I538" s="76"/>
      <c r="J538" s="76"/>
      <c r="K538" s="76"/>
      <c r="L538" s="76"/>
      <c r="M538" s="80"/>
      <c r="N538" s="96"/>
    </row>
    <row r="539" customFormat="false" ht="22.5" hidden="false" customHeight="true" outlineLevel="0" collapsed="false">
      <c r="A539" s="94"/>
      <c r="B539" s="95"/>
      <c r="C539" s="84"/>
      <c r="D539" s="76"/>
      <c r="E539" s="77"/>
      <c r="F539" s="77"/>
      <c r="G539" s="78"/>
      <c r="H539" s="76" t="str">
        <f aca="true">IF(G539="","",IF(G539=1,"Completed",
IF(G539=0,"Not Started",
IF(AND(F539&lt;&gt;"",ISNUMBER(F539),F539&lt;TODAY()),"Delayed","In Progress")
)
)
)</f>
        <v/>
      </c>
      <c r="I539" s="76"/>
      <c r="J539" s="76"/>
      <c r="K539" s="76"/>
      <c r="L539" s="76"/>
      <c r="M539" s="80"/>
      <c r="N539" s="96"/>
    </row>
    <row r="540" customFormat="false" ht="22.5" hidden="false" customHeight="true" outlineLevel="0" collapsed="false">
      <c r="A540" s="94"/>
      <c r="B540" s="95"/>
      <c r="C540" s="84"/>
      <c r="D540" s="76"/>
      <c r="E540" s="77"/>
      <c r="F540" s="77"/>
      <c r="G540" s="78"/>
      <c r="H540" s="76" t="str">
        <f aca="true">IF(G540="","",IF(G540=1,"Completed",
IF(G540=0,"Not Started",
IF(AND(F540&lt;&gt;"",ISNUMBER(F540),F540&lt;TODAY()),"Delayed","In Progress")
)
)
)</f>
        <v/>
      </c>
      <c r="I540" s="76"/>
      <c r="J540" s="76"/>
      <c r="K540" s="76"/>
      <c r="L540" s="76"/>
      <c r="M540" s="80"/>
      <c r="N540" s="96"/>
    </row>
    <row r="541" customFormat="false" ht="22.5" hidden="false" customHeight="true" outlineLevel="0" collapsed="false">
      <c r="A541" s="94"/>
      <c r="B541" s="95"/>
      <c r="C541" s="84"/>
      <c r="D541" s="76"/>
      <c r="E541" s="77"/>
      <c r="F541" s="77"/>
      <c r="G541" s="78"/>
      <c r="H541" s="76" t="str">
        <f aca="true">IF(G541="","",IF(G541=1,"Completed",
IF(G541=0,"Not Started",
IF(AND(F541&lt;&gt;"",ISNUMBER(F541),F541&lt;TODAY()),"Delayed","In Progress")
)
)
)</f>
        <v/>
      </c>
      <c r="I541" s="76"/>
      <c r="J541" s="76"/>
      <c r="K541" s="76"/>
      <c r="L541" s="76"/>
      <c r="M541" s="80"/>
      <c r="N541" s="96"/>
    </row>
    <row r="542" customFormat="false" ht="22.5" hidden="false" customHeight="true" outlineLevel="0" collapsed="false">
      <c r="A542" s="94"/>
      <c r="B542" s="95"/>
      <c r="C542" s="84"/>
      <c r="D542" s="76"/>
      <c r="E542" s="77"/>
      <c r="F542" s="77"/>
      <c r="G542" s="78"/>
      <c r="H542" s="76" t="str">
        <f aca="true">IF(G542="","",IF(G542=1,"Completed",
IF(G542=0,"Not Started",
IF(AND(F542&lt;&gt;"",ISNUMBER(F542),F542&lt;TODAY()),"Delayed","In Progress")
)
)
)</f>
        <v/>
      </c>
      <c r="I542" s="76"/>
      <c r="J542" s="76"/>
      <c r="K542" s="76"/>
      <c r="L542" s="76"/>
      <c r="M542" s="80"/>
      <c r="N542" s="96"/>
    </row>
    <row r="543" customFormat="false" ht="22.5" hidden="false" customHeight="true" outlineLevel="0" collapsed="false">
      <c r="A543" s="94"/>
      <c r="B543" s="95"/>
      <c r="C543" s="84"/>
      <c r="D543" s="76"/>
      <c r="E543" s="77"/>
      <c r="F543" s="77"/>
      <c r="G543" s="78"/>
      <c r="H543" s="76" t="str">
        <f aca="true">IF(G543="","",IF(G543=1,"Completed",
IF(G543=0,"Not Started",
IF(AND(F543&lt;&gt;"",ISNUMBER(F543),F543&lt;TODAY()),"Delayed","In Progress")
)
)
)</f>
        <v/>
      </c>
      <c r="I543" s="76"/>
      <c r="J543" s="76"/>
      <c r="K543" s="76"/>
      <c r="L543" s="76"/>
      <c r="M543" s="80"/>
      <c r="N543" s="96"/>
    </row>
    <row r="544" customFormat="false" ht="22.5" hidden="false" customHeight="true" outlineLevel="0" collapsed="false">
      <c r="A544" s="94"/>
      <c r="B544" s="95"/>
      <c r="C544" s="84"/>
      <c r="D544" s="76"/>
      <c r="E544" s="77"/>
      <c r="F544" s="77"/>
      <c r="G544" s="78"/>
      <c r="H544" s="76" t="str">
        <f aca="true">IF(G544="","",IF(G544=1,"Completed",
IF(G544=0,"Not Started",
IF(AND(F544&lt;&gt;"",ISNUMBER(F544),F544&lt;TODAY()),"Delayed","In Progress")
)
)
)</f>
        <v/>
      </c>
      <c r="I544" s="76"/>
      <c r="J544" s="76"/>
      <c r="K544" s="76"/>
      <c r="L544" s="76"/>
      <c r="M544" s="80"/>
      <c r="N544" s="96"/>
    </row>
    <row r="545" customFormat="false" ht="22.5" hidden="false" customHeight="true" outlineLevel="0" collapsed="false">
      <c r="A545" s="94"/>
      <c r="B545" s="95"/>
      <c r="C545" s="84"/>
      <c r="D545" s="76"/>
      <c r="E545" s="77"/>
      <c r="F545" s="77"/>
      <c r="G545" s="78"/>
      <c r="H545" s="76" t="str">
        <f aca="true">IF(G545="","",IF(G545=1,"Completed",
IF(G545=0,"Not Started",
IF(AND(F545&lt;&gt;"",ISNUMBER(F545),F545&lt;TODAY()),"Delayed","In Progress")
)
)
)</f>
        <v/>
      </c>
      <c r="I545" s="76"/>
      <c r="J545" s="76"/>
      <c r="K545" s="76"/>
      <c r="L545" s="76"/>
      <c r="M545" s="80"/>
      <c r="N545" s="96"/>
    </row>
    <row r="546" customFormat="false" ht="22.5" hidden="false" customHeight="true" outlineLevel="0" collapsed="false">
      <c r="A546" s="94"/>
      <c r="B546" s="95"/>
      <c r="C546" s="84"/>
      <c r="D546" s="76"/>
      <c r="E546" s="77"/>
      <c r="F546" s="77"/>
      <c r="G546" s="78"/>
      <c r="H546" s="76" t="str">
        <f aca="true">IF(G546="","",IF(G546=1,"Completed",
IF(G546=0,"Not Started",
IF(AND(F546&lt;&gt;"",ISNUMBER(F546),F546&lt;TODAY()),"Delayed","In Progress")
)
)
)</f>
        <v/>
      </c>
      <c r="I546" s="76"/>
      <c r="J546" s="76"/>
      <c r="K546" s="76"/>
      <c r="L546" s="76"/>
      <c r="M546" s="80"/>
      <c r="N546" s="96"/>
    </row>
    <row r="547" customFormat="false" ht="22.5" hidden="false" customHeight="true" outlineLevel="0" collapsed="false">
      <c r="A547" s="94"/>
      <c r="B547" s="95"/>
      <c r="C547" s="84"/>
      <c r="D547" s="76"/>
      <c r="E547" s="77"/>
      <c r="F547" s="77"/>
      <c r="G547" s="78"/>
      <c r="H547" s="76" t="str">
        <f aca="true">IF(G547="","",IF(G547=1,"Completed",
IF(G547=0,"Not Started",
IF(AND(F547&lt;&gt;"",ISNUMBER(F547),F547&lt;TODAY()),"Delayed","In Progress")
)
)
)</f>
        <v/>
      </c>
      <c r="I547" s="76"/>
      <c r="J547" s="76"/>
      <c r="K547" s="76"/>
      <c r="L547" s="76"/>
      <c r="M547" s="80"/>
      <c r="N547" s="96"/>
    </row>
    <row r="548" customFormat="false" ht="22.5" hidden="false" customHeight="true" outlineLevel="0" collapsed="false">
      <c r="A548" s="94"/>
      <c r="B548" s="95"/>
      <c r="C548" s="84"/>
      <c r="D548" s="76"/>
      <c r="E548" s="77"/>
      <c r="F548" s="77"/>
      <c r="G548" s="78"/>
      <c r="H548" s="76" t="str">
        <f aca="true">IF(G548="","",IF(G548=1,"Completed",
IF(G548=0,"Not Started",
IF(AND(F548&lt;&gt;"",ISNUMBER(F548),F548&lt;TODAY()),"Delayed","In Progress")
)
)
)</f>
        <v/>
      </c>
      <c r="I548" s="76"/>
      <c r="J548" s="76"/>
      <c r="K548" s="76"/>
      <c r="L548" s="76"/>
      <c r="M548" s="80"/>
      <c r="N548" s="96"/>
    </row>
    <row r="549" customFormat="false" ht="22.5" hidden="false" customHeight="true" outlineLevel="0" collapsed="false">
      <c r="A549" s="94"/>
      <c r="B549" s="95"/>
      <c r="C549" s="84"/>
      <c r="D549" s="76"/>
      <c r="E549" s="77"/>
      <c r="F549" s="77"/>
      <c r="G549" s="78"/>
      <c r="H549" s="76" t="str">
        <f aca="true">IF(G549="","",IF(G549=1,"Completed",
IF(G549=0,"Not Started",
IF(AND(F549&lt;&gt;"",ISNUMBER(F549),F549&lt;TODAY()),"Delayed","In Progress")
)
)
)</f>
        <v/>
      </c>
      <c r="I549" s="76"/>
      <c r="J549" s="76"/>
      <c r="K549" s="76"/>
      <c r="L549" s="76"/>
      <c r="M549" s="80"/>
      <c r="N549" s="96"/>
    </row>
    <row r="550" customFormat="false" ht="22.5" hidden="false" customHeight="true" outlineLevel="0" collapsed="false">
      <c r="A550" s="94"/>
      <c r="B550" s="95"/>
      <c r="C550" s="84"/>
      <c r="D550" s="76"/>
      <c r="E550" s="77"/>
      <c r="F550" s="77"/>
      <c r="G550" s="78"/>
      <c r="H550" s="76" t="str">
        <f aca="true">IF(G550="","",IF(G550=1,"Completed",
IF(G550=0,"Not Started",
IF(AND(F550&lt;&gt;"",ISNUMBER(F550),F550&lt;TODAY()),"Delayed","In Progress")
)
)
)</f>
        <v/>
      </c>
      <c r="I550" s="76"/>
      <c r="J550" s="76"/>
      <c r="K550" s="76"/>
      <c r="L550" s="76"/>
      <c r="M550" s="80"/>
      <c r="N550" s="96"/>
    </row>
    <row r="551" customFormat="false" ht="22.5" hidden="false" customHeight="true" outlineLevel="0" collapsed="false">
      <c r="A551" s="94"/>
      <c r="B551" s="95"/>
      <c r="C551" s="84"/>
      <c r="D551" s="76"/>
      <c r="E551" s="77"/>
      <c r="F551" s="77"/>
      <c r="G551" s="78"/>
      <c r="H551" s="76" t="str">
        <f aca="true">IF(G551="","",IF(G551=1,"Completed",
IF(G551=0,"Not Started",
IF(AND(F551&lt;&gt;"",ISNUMBER(F551),F551&lt;TODAY()),"Delayed","In Progress")
)
)
)</f>
        <v/>
      </c>
      <c r="I551" s="76"/>
      <c r="J551" s="76"/>
      <c r="K551" s="76"/>
      <c r="L551" s="76"/>
      <c r="M551" s="80"/>
      <c r="N551" s="96"/>
    </row>
    <row r="552" customFormat="false" ht="22.5" hidden="false" customHeight="true" outlineLevel="0" collapsed="false">
      <c r="A552" s="94"/>
      <c r="B552" s="95"/>
      <c r="C552" s="84"/>
      <c r="D552" s="76"/>
      <c r="E552" s="77"/>
      <c r="F552" s="77"/>
      <c r="G552" s="78"/>
      <c r="H552" s="76" t="str">
        <f aca="true">IF(G552="","",IF(G552=1,"Completed",
IF(G552=0,"Not Started",
IF(AND(F552&lt;&gt;"",ISNUMBER(F552),F552&lt;TODAY()),"Delayed","In Progress")
)
)
)</f>
        <v/>
      </c>
      <c r="I552" s="76"/>
      <c r="J552" s="76"/>
      <c r="K552" s="76"/>
      <c r="L552" s="76"/>
      <c r="M552" s="80"/>
      <c r="N552" s="96"/>
    </row>
    <row r="553" customFormat="false" ht="22.5" hidden="false" customHeight="true" outlineLevel="0" collapsed="false">
      <c r="A553" s="94"/>
      <c r="B553" s="95"/>
      <c r="C553" s="84"/>
      <c r="D553" s="76"/>
      <c r="E553" s="77"/>
      <c r="F553" s="77"/>
      <c r="G553" s="78"/>
      <c r="H553" s="76" t="str">
        <f aca="true">IF(G553="","",IF(G553=1,"Completed",
IF(G553=0,"Not Started",
IF(AND(F553&lt;&gt;"",ISNUMBER(F553),F553&lt;TODAY()),"Delayed","In Progress")
)
)
)</f>
        <v/>
      </c>
      <c r="I553" s="76"/>
      <c r="J553" s="76"/>
      <c r="K553" s="76"/>
      <c r="L553" s="76"/>
      <c r="M553" s="80"/>
      <c r="N553" s="96"/>
    </row>
    <row r="554" customFormat="false" ht="22.5" hidden="false" customHeight="true" outlineLevel="0" collapsed="false">
      <c r="A554" s="94"/>
      <c r="B554" s="95"/>
      <c r="C554" s="84"/>
      <c r="D554" s="76"/>
      <c r="E554" s="77"/>
      <c r="F554" s="77"/>
      <c r="G554" s="78"/>
      <c r="H554" s="76" t="str">
        <f aca="true">IF(G554="","",IF(G554=1,"Completed",
IF(G554=0,"Not Started",
IF(AND(F554&lt;&gt;"",ISNUMBER(F554),F554&lt;TODAY()),"Delayed","In Progress")
)
)
)</f>
        <v/>
      </c>
      <c r="I554" s="76"/>
      <c r="J554" s="76"/>
      <c r="K554" s="76"/>
      <c r="L554" s="76"/>
      <c r="M554" s="80"/>
      <c r="N554" s="96"/>
    </row>
    <row r="555" customFormat="false" ht="22.5" hidden="false" customHeight="true" outlineLevel="0" collapsed="false">
      <c r="A555" s="94"/>
      <c r="B555" s="95"/>
      <c r="C555" s="84"/>
      <c r="D555" s="76"/>
      <c r="E555" s="77"/>
      <c r="F555" s="77"/>
      <c r="G555" s="78"/>
      <c r="H555" s="76" t="str">
        <f aca="true">IF(G555="","",IF(G555=1,"Completed",
IF(G555=0,"Not Started",
IF(AND(F555&lt;&gt;"",ISNUMBER(F555),F555&lt;TODAY()),"Delayed","In Progress")
)
)
)</f>
        <v/>
      </c>
      <c r="I555" s="76"/>
      <c r="J555" s="76"/>
      <c r="K555" s="76"/>
      <c r="L555" s="76"/>
      <c r="M555" s="80"/>
      <c r="N555" s="96"/>
    </row>
    <row r="556" customFormat="false" ht="22.5" hidden="false" customHeight="true" outlineLevel="0" collapsed="false">
      <c r="A556" s="94"/>
      <c r="B556" s="95"/>
      <c r="C556" s="84"/>
      <c r="D556" s="76"/>
      <c r="E556" s="77"/>
      <c r="F556" s="77"/>
      <c r="G556" s="78"/>
      <c r="H556" s="76" t="str">
        <f aca="true">IF(G556="","",IF(G556=1,"Completed",
IF(G556=0,"Not Started",
IF(AND(F556&lt;&gt;"",ISNUMBER(F556),F556&lt;TODAY()),"Delayed","In Progress")
)
)
)</f>
        <v/>
      </c>
      <c r="I556" s="76"/>
      <c r="J556" s="76"/>
      <c r="K556" s="76"/>
      <c r="L556" s="76"/>
      <c r="M556" s="80"/>
      <c r="N556" s="96"/>
    </row>
    <row r="557" customFormat="false" ht="22.5" hidden="false" customHeight="true" outlineLevel="0" collapsed="false">
      <c r="A557" s="94"/>
      <c r="B557" s="95"/>
      <c r="C557" s="84"/>
      <c r="D557" s="76"/>
      <c r="E557" s="77"/>
      <c r="F557" s="77"/>
      <c r="G557" s="78"/>
      <c r="H557" s="76" t="str">
        <f aca="true">IF(G557="","",IF(G557=1,"Completed",
IF(G557=0,"Not Started",
IF(AND(F557&lt;&gt;"",ISNUMBER(F557),F557&lt;TODAY()),"Delayed","In Progress")
)
)
)</f>
        <v/>
      </c>
      <c r="I557" s="76"/>
      <c r="J557" s="76"/>
      <c r="K557" s="76"/>
      <c r="L557" s="76"/>
      <c r="M557" s="80"/>
      <c r="N557" s="96"/>
    </row>
    <row r="558" customFormat="false" ht="22.5" hidden="false" customHeight="true" outlineLevel="0" collapsed="false">
      <c r="A558" s="94"/>
      <c r="B558" s="95"/>
      <c r="C558" s="84"/>
      <c r="D558" s="76"/>
      <c r="E558" s="77"/>
      <c r="F558" s="77"/>
      <c r="G558" s="78"/>
      <c r="H558" s="76" t="str">
        <f aca="true">IF(G558="","",IF(G558=1,"Completed",
IF(G558=0,"Not Started",
IF(AND(F558&lt;&gt;"",ISNUMBER(F558),F558&lt;TODAY()),"Delayed","In Progress")
)
)
)</f>
        <v/>
      </c>
      <c r="I558" s="76"/>
      <c r="J558" s="76"/>
      <c r="K558" s="76"/>
      <c r="L558" s="76"/>
      <c r="M558" s="80"/>
      <c r="N558" s="96"/>
    </row>
    <row r="559" customFormat="false" ht="22.5" hidden="false" customHeight="true" outlineLevel="0" collapsed="false">
      <c r="A559" s="94"/>
      <c r="B559" s="95"/>
      <c r="C559" s="84"/>
      <c r="D559" s="76"/>
      <c r="E559" s="77"/>
      <c r="F559" s="77"/>
      <c r="G559" s="78"/>
      <c r="H559" s="76" t="str">
        <f aca="true">IF(G559="","",IF(G559=1,"Completed",
IF(G559=0,"Not Started",
IF(AND(F559&lt;&gt;"",ISNUMBER(F559),F559&lt;TODAY()),"Delayed","In Progress")
)
)
)</f>
        <v/>
      </c>
      <c r="I559" s="76"/>
      <c r="J559" s="76"/>
      <c r="K559" s="76"/>
      <c r="L559" s="76"/>
      <c r="M559" s="80"/>
      <c r="N559" s="96"/>
    </row>
    <row r="560" customFormat="false" ht="22.5" hidden="false" customHeight="true" outlineLevel="0" collapsed="false">
      <c r="A560" s="94"/>
      <c r="B560" s="95"/>
      <c r="C560" s="84"/>
      <c r="D560" s="76"/>
      <c r="E560" s="77"/>
      <c r="F560" s="77"/>
      <c r="G560" s="78"/>
      <c r="H560" s="76" t="str">
        <f aca="true">IF(G560="","",IF(G560=1,"Completed",
IF(G560=0,"Not Started",
IF(AND(F560&lt;&gt;"",ISNUMBER(F560),F560&lt;TODAY()),"Delayed","In Progress")
)
)
)</f>
        <v/>
      </c>
      <c r="I560" s="76"/>
      <c r="J560" s="76"/>
      <c r="K560" s="76"/>
      <c r="L560" s="76"/>
      <c r="M560" s="80"/>
      <c r="N560" s="96"/>
    </row>
    <row r="561" customFormat="false" ht="22.5" hidden="false" customHeight="true" outlineLevel="0" collapsed="false">
      <c r="A561" s="94"/>
      <c r="B561" s="95"/>
      <c r="C561" s="84"/>
      <c r="D561" s="76"/>
      <c r="E561" s="77"/>
      <c r="F561" s="77"/>
      <c r="G561" s="78"/>
      <c r="H561" s="76" t="str">
        <f aca="true">IF(G561="","",IF(G561=1,"Completed",
IF(G561=0,"Not Started",
IF(AND(F561&lt;&gt;"",ISNUMBER(F561),F561&lt;TODAY()),"Delayed","In Progress")
)
)
)</f>
        <v/>
      </c>
      <c r="I561" s="76"/>
      <c r="J561" s="76"/>
      <c r="K561" s="76"/>
      <c r="L561" s="76"/>
      <c r="M561" s="80"/>
      <c r="N561" s="96"/>
    </row>
    <row r="562" customFormat="false" ht="22.5" hidden="false" customHeight="true" outlineLevel="0" collapsed="false">
      <c r="A562" s="94"/>
      <c r="B562" s="95"/>
      <c r="C562" s="84"/>
      <c r="D562" s="76"/>
      <c r="E562" s="77"/>
      <c r="F562" s="77"/>
      <c r="G562" s="78"/>
      <c r="H562" s="76" t="str">
        <f aca="true">IF(G562="","",IF(G562=1,"Completed",
IF(G562=0,"Not Started",
IF(AND(F562&lt;&gt;"",ISNUMBER(F562),F562&lt;TODAY()),"Delayed","In Progress")
)
)
)</f>
        <v/>
      </c>
      <c r="I562" s="76"/>
      <c r="J562" s="76"/>
      <c r="K562" s="76"/>
      <c r="L562" s="76"/>
      <c r="M562" s="80"/>
      <c r="N562" s="96"/>
    </row>
    <row r="563" customFormat="false" ht="22.5" hidden="false" customHeight="true" outlineLevel="0" collapsed="false">
      <c r="A563" s="94"/>
      <c r="B563" s="95"/>
      <c r="C563" s="84"/>
      <c r="D563" s="76"/>
      <c r="E563" s="77"/>
      <c r="F563" s="77"/>
      <c r="G563" s="78"/>
      <c r="H563" s="76" t="str">
        <f aca="true">IF(G563="","",IF(G563=1,"Completed",
IF(G563=0,"Not Started",
IF(AND(F563&lt;&gt;"",ISNUMBER(F563),F563&lt;TODAY()),"Delayed","In Progress")
)
)
)</f>
        <v/>
      </c>
      <c r="I563" s="76"/>
      <c r="J563" s="76"/>
      <c r="K563" s="76"/>
      <c r="L563" s="76"/>
      <c r="M563" s="80"/>
      <c r="N563" s="96"/>
    </row>
    <row r="564" customFormat="false" ht="22.5" hidden="false" customHeight="true" outlineLevel="0" collapsed="false">
      <c r="A564" s="94"/>
      <c r="B564" s="95"/>
      <c r="C564" s="84"/>
      <c r="D564" s="76"/>
      <c r="E564" s="77"/>
      <c r="F564" s="77"/>
      <c r="G564" s="78"/>
      <c r="H564" s="76" t="str">
        <f aca="true">IF(G564="","",IF(G564=1,"Completed",
IF(G564=0,"Not Started",
IF(AND(F564&lt;&gt;"",ISNUMBER(F564),F564&lt;TODAY()),"Delayed","In Progress")
)
)
)</f>
        <v/>
      </c>
      <c r="I564" s="76"/>
      <c r="J564" s="76"/>
      <c r="K564" s="76"/>
      <c r="L564" s="76"/>
      <c r="M564" s="80"/>
      <c r="N564" s="96"/>
    </row>
    <row r="565" customFormat="false" ht="22.5" hidden="false" customHeight="true" outlineLevel="0" collapsed="false">
      <c r="A565" s="94"/>
      <c r="B565" s="95"/>
      <c r="C565" s="84"/>
      <c r="D565" s="76"/>
      <c r="E565" s="77"/>
      <c r="F565" s="77"/>
      <c r="G565" s="78"/>
      <c r="H565" s="76" t="str">
        <f aca="true">IF(G565="","",IF(G565=1,"Completed",
IF(G565=0,"Not Started",
IF(AND(F565&lt;&gt;"",ISNUMBER(F565),F565&lt;TODAY()),"Delayed","In Progress")
)
)
)</f>
        <v/>
      </c>
      <c r="I565" s="76"/>
      <c r="J565" s="76"/>
      <c r="K565" s="76"/>
      <c r="L565" s="76"/>
      <c r="M565" s="80"/>
      <c r="N565" s="96"/>
    </row>
    <row r="566" customFormat="false" ht="22.5" hidden="false" customHeight="true" outlineLevel="0" collapsed="false">
      <c r="A566" s="94"/>
      <c r="B566" s="95"/>
      <c r="C566" s="84"/>
      <c r="D566" s="76"/>
      <c r="E566" s="77"/>
      <c r="F566" s="77"/>
      <c r="G566" s="78"/>
      <c r="H566" s="76" t="str">
        <f aca="true">IF(G566="","",IF(G566=1,"Completed",
IF(G566=0,"Not Started",
IF(AND(F566&lt;&gt;"",ISNUMBER(F566),F566&lt;TODAY()),"Delayed","In Progress")
)
)
)</f>
        <v/>
      </c>
      <c r="I566" s="76"/>
      <c r="J566" s="76"/>
      <c r="K566" s="76"/>
      <c r="L566" s="76"/>
      <c r="M566" s="80"/>
      <c r="N566" s="96"/>
    </row>
    <row r="567" customFormat="false" ht="22.5" hidden="false" customHeight="true" outlineLevel="0" collapsed="false">
      <c r="A567" s="94"/>
      <c r="B567" s="95"/>
      <c r="C567" s="84"/>
      <c r="D567" s="76"/>
      <c r="E567" s="77"/>
      <c r="F567" s="77"/>
      <c r="G567" s="78"/>
      <c r="H567" s="76" t="str">
        <f aca="true">IF(G567="","",IF(G567=1,"Completed",
IF(G567=0,"Not Started",
IF(AND(F567&lt;&gt;"",ISNUMBER(F567),F567&lt;TODAY()),"Delayed","In Progress")
)
)
)</f>
        <v/>
      </c>
      <c r="I567" s="76"/>
      <c r="J567" s="76"/>
      <c r="K567" s="76"/>
      <c r="L567" s="76"/>
      <c r="M567" s="80"/>
      <c r="N567" s="96"/>
    </row>
    <row r="568" customFormat="false" ht="22.5" hidden="false" customHeight="true" outlineLevel="0" collapsed="false">
      <c r="A568" s="94"/>
      <c r="B568" s="95"/>
      <c r="C568" s="84"/>
      <c r="D568" s="76"/>
      <c r="E568" s="77"/>
      <c r="F568" s="77"/>
      <c r="G568" s="78"/>
      <c r="H568" s="76" t="str">
        <f aca="true">IF(G568="","",IF(G568=1,"Completed",
IF(G568=0,"Not Started",
IF(AND(F568&lt;&gt;"",ISNUMBER(F568),F568&lt;TODAY()),"Delayed","In Progress")
)
)
)</f>
        <v/>
      </c>
      <c r="I568" s="76"/>
      <c r="J568" s="76"/>
      <c r="K568" s="76"/>
      <c r="L568" s="76"/>
      <c r="M568" s="80"/>
      <c r="N568" s="96"/>
    </row>
    <row r="569" customFormat="false" ht="22.5" hidden="false" customHeight="true" outlineLevel="0" collapsed="false">
      <c r="A569" s="94"/>
      <c r="B569" s="95"/>
      <c r="C569" s="84"/>
      <c r="D569" s="76"/>
      <c r="E569" s="77"/>
      <c r="F569" s="77"/>
      <c r="G569" s="78"/>
      <c r="H569" s="76" t="str">
        <f aca="true">IF(G569="","",IF(G569=1,"Completed",
IF(G569=0,"Not Started",
IF(AND(F569&lt;&gt;"",ISNUMBER(F569),F569&lt;TODAY()),"Delayed","In Progress")
)
)
)</f>
        <v/>
      </c>
      <c r="I569" s="76"/>
      <c r="J569" s="76"/>
      <c r="K569" s="76"/>
      <c r="L569" s="76"/>
      <c r="M569" s="80"/>
      <c r="N569" s="96"/>
    </row>
    <row r="570" customFormat="false" ht="22.5" hidden="false" customHeight="true" outlineLevel="0" collapsed="false">
      <c r="A570" s="94"/>
      <c r="B570" s="95"/>
      <c r="C570" s="84"/>
      <c r="D570" s="76"/>
      <c r="E570" s="77"/>
      <c r="F570" s="77"/>
      <c r="G570" s="78"/>
      <c r="H570" s="76" t="str">
        <f aca="true">IF(G570="","",IF(G570=1,"Completed",
IF(G570=0,"Not Started",
IF(AND(F570&lt;&gt;"",ISNUMBER(F570),F570&lt;TODAY()),"Delayed","In Progress")
)
)
)</f>
        <v/>
      </c>
      <c r="I570" s="76"/>
      <c r="J570" s="76"/>
      <c r="K570" s="76"/>
      <c r="L570" s="76"/>
      <c r="M570" s="80"/>
      <c r="N570" s="96"/>
    </row>
    <row r="571" customFormat="false" ht="22.5" hidden="false" customHeight="true" outlineLevel="0" collapsed="false">
      <c r="A571" s="94"/>
      <c r="B571" s="95"/>
      <c r="C571" s="84"/>
      <c r="D571" s="76"/>
      <c r="E571" s="77"/>
      <c r="F571" s="77"/>
      <c r="G571" s="78"/>
      <c r="H571" s="76" t="str">
        <f aca="true">IF(G571="","",IF(G571=1,"Completed",
IF(G571=0,"Not Started",
IF(AND(F571&lt;&gt;"",ISNUMBER(F571),F571&lt;TODAY()),"Delayed","In Progress")
)
)
)</f>
        <v/>
      </c>
      <c r="I571" s="76"/>
      <c r="J571" s="76"/>
      <c r="K571" s="76"/>
      <c r="L571" s="76"/>
      <c r="M571" s="80"/>
      <c r="N571" s="96"/>
    </row>
    <row r="572" customFormat="false" ht="22.5" hidden="false" customHeight="true" outlineLevel="0" collapsed="false">
      <c r="A572" s="94"/>
      <c r="B572" s="95"/>
      <c r="C572" s="84"/>
      <c r="D572" s="76"/>
      <c r="E572" s="77"/>
      <c r="F572" s="77"/>
      <c r="G572" s="78"/>
      <c r="H572" s="76" t="str">
        <f aca="true">IF(G572="","",IF(G572=1,"Completed",
IF(G572=0,"Not Started",
IF(AND(F572&lt;&gt;"",ISNUMBER(F572),F572&lt;TODAY()),"Delayed","In Progress")
)
)
)</f>
        <v/>
      </c>
      <c r="I572" s="76"/>
      <c r="J572" s="76"/>
      <c r="K572" s="76"/>
      <c r="L572" s="76"/>
      <c r="M572" s="80"/>
      <c r="N572" s="96"/>
    </row>
    <row r="573" customFormat="false" ht="22.5" hidden="false" customHeight="true" outlineLevel="0" collapsed="false">
      <c r="A573" s="94"/>
      <c r="B573" s="95"/>
      <c r="C573" s="84"/>
      <c r="D573" s="76"/>
      <c r="E573" s="77"/>
      <c r="F573" s="77"/>
      <c r="G573" s="78"/>
      <c r="H573" s="76" t="str">
        <f aca="true">IF(G573="","",IF(G573=1,"Completed",
IF(G573=0,"Not Started",
IF(AND(F573&lt;&gt;"",ISNUMBER(F573),F573&lt;TODAY()),"Delayed","In Progress")
)
)
)</f>
        <v/>
      </c>
      <c r="I573" s="76"/>
      <c r="J573" s="76"/>
      <c r="K573" s="76"/>
      <c r="L573" s="76"/>
      <c r="M573" s="80"/>
      <c r="N573" s="96"/>
    </row>
    <row r="574" customFormat="false" ht="22.5" hidden="false" customHeight="true" outlineLevel="0" collapsed="false">
      <c r="A574" s="94"/>
      <c r="B574" s="95"/>
      <c r="C574" s="84"/>
      <c r="D574" s="76"/>
      <c r="E574" s="77"/>
      <c r="F574" s="77"/>
      <c r="G574" s="78"/>
      <c r="H574" s="76" t="str">
        <f aca="true">IF(G574="","",IF(G574=1,"Completed",
IF(G574=0,"Not Started",
IF(AND(F574&lt;&gt;"",ISNUMBER(F574),F574&lt;TODAY()),"Delayed","In Progress")
)
)
)</f>
        <v/>
      </c>
      <c r="I574" s="76"/>
      <c r="J574" s="76"/>
      <c r="K574" s="76"/>
      <c r="L574" s="76"/>
      <c r="M574" s="80"/>
      <c r="N574" s="96"/>
    </row>
    <row r="575" customFormat="false" ht="22.5" hidden="false" customHeight="true" outlineLevel="0" collapsed="false">
      <c r="A575" s="94"/>
      <c r="B575" s="95"/>
      <c r="C575" s="84"/>
      <c r="D575" s="76"/>
      <c r="E575" s="77"/>
      <c r="F575" s="77"/>
      <c r="G575" s="78"/>
      <c r="H575" s="76" t="str">
        <f aca="true">IF(G575="","",IF(G575=1,"Completed",
IF(G575=0,"Not Started",
IF(AND(F575&lt;&gt;"",ISNUMBER(F575),F575&lt;TODAY()),"Delayed","In Progress")
)
)
)</f>
        <v/>
      </c>
      <c r="I575" s="76"/>
      <c r="J575" s="76"/>
      <c r="K575" s="76"/>
      <c r="L575" s="76"/>
      <c r="M575" s="80"/>
      <c r="N575" s="96"/>
    </row>
    <row r="576" customFormat="false" ht="22.5" hidden="false" customHeight="true" outlineLevel="0" collapsed="false">
      <c r="A576" s="94"/>
      <c r="B576" s="95"/>
      <c r="C576" s="84"/>
      <c r="D576" s="76"/>
      <c r="E576" s="77"/>
      <c r="F576" s="77"/>
      <c r="G576" s="78"/>
      <c r="H576" s="76" t="str">
        <f aca="true">IF(G576="","",IF(G576=1,"Completed",
IF(G576=0,"Not Started",
IF(AND(F576&lt;&gt;"",ISNUMBER(F576),F576&lt;TODAY()),"Delayed","In Progress")
)
)
)</f>
        <v/>
      </c>
      <c r="I576" s="76"/>
      <c r="J576" s="76"/>
      <c r="K576" s="76"/>
      <c r="L576" s="76"/>
      <c r="M576" s="80"/>
      <c r="N576" s="96"/>
    </row>
    <row r="577" customFormat="false" ht="22.5" hidden="false" customHeight="true" outlineLevel="0" collapsed="false">
      <c r="A577" s="94"/>
      <c r="B577" s="95"/>
      <c r="C577" s="84"/>
      <c r="D577" s="76"/>
      <c r="E577" s="77"/>
      <c r="F577" s="77"/>
      <c r="G577" s="78"/>
      <c r="H577" s="76" t="str">
        <f aca="true">IF(G577="","",IF(G577=1,"Completed",
IF(G577=0,"Not Started",
IF(AND(F577&lt;&gt;"",ISNUMBER(F577),F577&lt;TODAY()),"Delayed","In Progress")
)
)
)</f>
        <v/>
      </c>
      <c r="I577" s="76"/>
      <c r="J577" s="76"/>
      <c r="K577" s="76"/>
      <c r="L577" s="76"/>
      <c r="M577" s="80"/>
      <c r="N577" s="96"/>
    </row>
    <row r="578" customFormat="false" ht="22.5" hidden="false" customHeight="true" outlineLevel="0" collapsed="false">
      <c r="A578" s="94"/>
      <c r="B578" s="95"/>
      <c r="C578" s="84"/>
      <c r="D578" s="76"/>
      <c r="E578" s="77"/>
      <c r="F578" s="77"/>
      <c r="G578" s="78"/>
      <c r="H578" s="76" t="str">
        <f aca="true">IF(G578="","",IF(G578=1,"Completed",
IF(G578=0,"Not Started",
IF(AND(F578&lt;&gt;"",ISNUMBER(F578),F578&lt;TODAY()),"Delayed","In Progress")
)
)
)</f>
        <v/>
      </c>
      <c r="I578" s="76"/>
      <c r="J578" s="76"/>
      <c r="K578" s="76"/>
      <c r="L578" s="76"/>
      <c r="M578" s="80"/>
      <c r="N578" s="96"/>
    </row>
    <row r="579" customFormat="false" ht="22.5" hidden="false" customHeight="true" outlineLevel="0" collapsed="false">
      <c r="A579" s="94"/>
      <c r="B579" s="95"/>
      <c r="C579" s="84"/>
      <c r="D579" s="76"/>
      <c r="E579" s="77"/>
      <c r="F579" s="77"/>
      <c r="G579" s="78"/>
      <c r="H579" s="76" t="str">
        <f aca="true">IF(G579="","",IF(G579=1,"Completed",
IF(G579=0,"Not Started",
IF(AND(F579&lt;&gt;"",ISNUMBER(F579),F579&lt;TODAY()),"Delayed","In Progress")
)
)
)</f>
        <v/>
      </c>
      <c r="I579" s="76"/>
      <c r="J579" s="76"/>
      <c r="K579" s="76"/>
      <c r="L579" s="76"/>
      <c r="M579" s="80"/>
      <c r="N579" s="96"/>
    </row>
    <row r="580" customFormat="false" ht="22.5" hidden="false" customHeight="true" outlineLevel="0" collapsed="false">
      <c r="A580" s="94"/>
      <c r="B580" s="95"/>
      <c r="C580" s="84"/>
      <c r="D580" s="76"/>
      <c r="E580" s="77"/>
      <c r="F580" s="77"/>
      <c r="G580" s="78"/>
      <c r="H580" s="76" t="str">
        <f aca="true">IF(G580="","",IF(G580=1,"Completed",
IF(G580=0,"Not Started",
IF(AND(F580&lt;&gt;"",ISNUMBER(F580),F580&lt;TODAY()),"Delayed","In Progress")
)
)
)</f>
        <v/>
      </c>
      <c r="I580" s="76"/>
      <c r="J580" s="76"/>
      <c r="K580" s="76"/>
      <c r="L580" s="76"/>
      <c r="M580" s="80"/>
      <c r="N580" s="96"/>
    </row>
    <row r="581" customFormat="false" ht="22.5" hidden="false" customHeight="true" outlineLevel="0" collapsed="false">
      <c r="A581" s="94"/>
      <c r="B581" s="95"/>
      <c r="C581" s="84"/>
      <c r="D581" s="76"/>
      <c r="E581" s="77"/>
      <c r="F581" s="77"/>
      <c r="G581" s="78"/>
      <c r="H581" s="76" t="str">
        <f aca="true">IF(G581="","",IF(G581=1,"Completed",
IF(G581=0,"Not Started",
IF(AND(F581&lt;&gt;"",ISNUMBER(F581),F581&lt;TODAY()),"Delayed","In Progress")
)
)
)</f>
        <v/>
      </c>
      <c r="I581" s="76"/>
      <c r="J581" s="76"/>
      <c r="K581" s="76"/>
      <c r="L581" s="76"/>
      <c r="M581" s="80"/>
      <c r="N581" s="96"/>
    </row>
    <row r="582" customFormat="false" ht="22.5" hidden="false" customHeight="true" outlineLevel="0" collapsed="false">
      <c r="A582" s="94"/>
      <c r="B582" s="95"/>
      <c r="C582" s="84"/>
      <c r="D582" s="76"/>
      <c r="E582" s="77"/>
      <c r="F582" s="77"/>
      <c r="G582" s="78"/>
      <c r="H582" s="76" t="str">
        <f aca="true">IF(G582="","",IF(G582=1,"Completed",
  IF(G582=0,"Not Started",
   IF(AND(F582&lt;&gt;"",ISNUMBER(F582),F582&lt;TODAY()),"Delayed","In Progress")
  )
 )
)</f>
        <v/>
      </c>
      <c r="I582" s="76"/>
      <c r="J582" s="76"/>
      <c r="K582" s="76"/>
      <c r="L582" s="76"/>
      <c r="M582" s="80"/>
      <c r="N582" s="96"/>
    </row>
    <row r="583" customFormat="false" ht="22.5" hidden="false" customHeight="true" outlineLevel="0" collapsed="false">
      <c r="A583" s="94"/>
      <c r="B583" s="95"/>
      <c r="C583" s="84"/>
      <c r="D583" s="76"/>
      <c r="E583" s="77"/>
      <c r="F583" s="77"/>
      <c r="G583" s="78"/>
      <c r="H583" s="76" t="str">
        <f aca="true">IF(G583="","",IF(G583=1,"Completed",
IF(G583=0,"Not Started",
IF(AND(F583&lt;&gt;"",ISNUMBER(F583),F583&lt;TODAY()),"Delayed","In Progress")
)
)
)</f>
        <v/>
      </c>
      <c r="I583" s="76"/>
      <c r="J583" s="76"/>
      <c r="K583" s="76"/>
      <c r="L583" s="76"/>
      <c r="M583" s="80"/>
      <c r="N583" s="96"/>
    </row>
    <row r="584" customFormat="false" ht="22.5" hidden="false" customHeight="true" outlineLevel="0" collapsed="false">
      <c r="A584" s="94"/>
      <c r="B584" s="95"/>
      <c r="C584" s="84"/>
      <c r="D584" s="76"/>
      <c r="E584" s="77"/>
      <c r="F584" s="77"/>
      <c r="G584" s="78"/>
      <c r="H584" s="76" t="str">
        <f aca="true">IF(G584="","",IF(G584=1,"Completed",
IF(G584=0,"Not Started",
IF(AND(F584&lt;&gt;"",ISNUMBER(F584),F584&lt;TODAY()),"Delayed","In Progress")
)
)
)</f>
        <v/>
      </c>
      <c r="I584" s="76"/>
      <c r="J584" s="76"/>
      <c r="K584" s="76"/>
      <c r="L584" s="76"/>
      <c r="M584" s="80"/>
      <c r="N584" s="96"/>
    </row>
    <row r="585" customFormat="false" ht="22.5" hidden="false" customHeight="true" outlineLevel="0" collapsed="false">
      <c r="A585" s="94"/>
      <c r="B585" s="95"/>
      <c r="C585" s="84"/>
      <c r="D585" s="76"/>
      <c r="E585" s="77"/>
      <c r="F585" s="77"/>
      <c r="G585" s="78"/>
      <c r="H585" s="76" t="str">
        <f aca="true">IF(G585="","",IF(G585=1,"Completed",
IF(G585=0,"Not Started",
IF(AND(F585&lt;&gt;"",ISNUMBER(F585),F585&lt;TODAY()),"Delayed","In Progress")
)
)
)</f>
        <v/>
      </c>
      <c r="I585" s="76"/>
      <c r="J585" s="76"/>
      <c r="K585" s="76"/>
      <c r="L585" s="76"/>
      <c r="M585" s="80"/>
      <c r="N585" s="96"/>
    </row>
    <row r="586" customFormat="false" ht="22.5" hidden="false" customHeight="true" outlineLevel="0" collapsed="false">
      <c r="A586" s="94"/>
      <c r="B586" s="95"/>
      <c r="C586" s="84"/>
      <c r="D586" s="76"/>
      <c r="E586" s="77"/>
      <c r="F586" s="77"/>
      <c r="G586" s="78"/>
      <c r="H586" s="76" t="str">
        <f aca="true">IF(G586="","",IF(G586=1,"Completed",
IF(G586=0,"Not Started",
IF(AND(F586&lt;&gt;"",ISNUMBER(F586),F586&lt;TODAY()),"Delayed","In Progress")
)
)
)</f>
        <v/>
      </c>
      <c r="I586" s="76"/>
      <c r="J586" s="76"/>
      <c r="K586" s="76"/>
      <c r="L586" s="76"/>
      <c r="M586" s="80"/>
      <c r="N586" s="96"/>
    </row>
    <row r="587" customFormat="false" ht="22.5" hidden="false" customHeight="true" outlineLevel="0" collapsed="false">
      <c r="A587" s="94"/>
      <c r="B587" s="95"/>
      <c r="C587" s="84"/>
      <c r="D587" s="76"/>
      <c r="E587" s="77"/>
      <c r="F587" s="77"/>
      <c r="G587" s="78"/>
      <c r="H587" s="76" t="str">
        <f aca="true">IF(G587="","",IF(G587=1,"Completed",
IF(G587=0,"Not Started",
IF(AND(F587&lt;&gt;"",ISNUMBER(F587),F587&lt;TODAY()),"Delayed","In Progress")
)
)
)</f>
        <v/>
      </c>
      <c r="I587" s="76"/>
      <c r="J587" s="76"/>
      <c r="K587" s="76"/>
      <c r="L587" s="76"/>
      <c r="M587" s="80"/>
      <c r="N587" s="96"/>
    </row>
    <row r="588" customFormat="false" ht="22.5" hidden="false" customHeight="true" outlineLevel="0" collapsed="false">
      <c r="A588" s="94"/>
      <c r="B588" s="95"/>
      <c r="C588" s="84"/>
      <c r="D588" s="76"/>
      <c r="E588" s="77"/>
      <c r="F588" s="77"/>
      <c r="G588" s="78"/>
      <c r="H588" s="76" t="str">
        <f aca="true">IF(G588="","",IF(G588=1,"Completed",
IF(G588=0,"Not Started",
IF(AND(F588&lt;&gt;"",ISNUMBER(F588),F588&lt;TODAY()),"Delayed","In Progress")
)
)
)</f>
        <v/>
      </c>
      <c r="I588" s="76"/>
      <c r="J588" s="76"/>
      <c r="K588" s="76"/>
      <c r="L588" s="76"/>
      <c r="M588" s="80"/>
      <c r="N588" s="96"/>
    </row>
    <row r="589" customFormat="false" ht="22.5" hidden="false" customHeight="true" outlineLevel="0" collapsed="false">
      <c r="A589" s="94"/>
      <c r="B589" s="95"/>
      <c r="C589" s="84"/>
      <c r="D589" s="76"/>
      <c r="E589" s="77"/>
      <c r="F589" s="77"/>
      <c r="G589" s="78"/>
      <c r="H589" s="76" t="str">
        <f aca="true">IF(G589="","",IF(G589=1,"Completed",
IF(G589=0,"Not Started",
IF(AND(F589&lt;&gt;"",ISNUMBER(F589),F589&lt;TODAY()),"Delayed","In Progress")
)
)
)</f>
        <v/>
      </c>
      <c r="I589" s="76"/>
      <c r="J589" s="76"/>
      <c r="K589" s="76"/>
      <c r="L589" s="76"/>
      <c r="M589" s="80"/>
      <c r="N589" s="96"/>
    </row>
    <row r="590" customFormat="false" ht="22.5" hidden="false" customHeight="true" outlineLevel="0" collapsed="false">
      <c r="A590" s="94"/>
      <c r="B590" s="95"/>
      <c r="C590" s="84"/>
      <c r="D590" s="76"/>
      <c r="E590" s="77"/>
      <c r="F590" s="77"/>
      <c r="G590" s="78"/>
      <c r="H590" s="76" t="str">
        <f aca="true">IF(G590="","",IF(G590=1,"Completed",
IF(G590=0,"Not Started",
IF(AND(F590&lt;&gt;"",ISNUMBER(F590),F590&lt;TODAY()),"Delayed","In Progress")
)
)
)</f>
        <v/>
      </c>
      <c r="I590" s="76"/>
      <c r="J590" s="76"/>
      <c r="K590" s="76"/>
      <c r="L590" s="76"/>
      <c r="M590" s="80"/>
      <c r="N590" s="96"/>
    </row>
    <row r="591" customFormat="false" ht="22.5" hidden="false" customHeight="true" outlineLevel="0" collapsed="false">
      <c r="A591" s="94"/>
      <c r="B591" s="95"/>
      <c r="C591" s="84"/>
      <c r="D591" s="76"/>
      <c r="E591" s="77"/>
      <c r="F591" s="77"/>
      <c r="G591" s="78"/>
      <c r="H591" s="76" t="str">
        <f aca="true">IF(G591="","",IF(G591=1,"Completed",
IF(G591=0,"Not Started",
IF(AND(F591&lt;&gt;"",ISNUMBER(F591),F591&lt;TODAY()),"Delayed","In Progress")
)
)
)</f>
        <v/>
      </c>
      <c r="I591" s="76"/>
      <c r="J591" s="76"/>
      <c r="K591" s="76"/>
      <c r="L591" s="76"/>
      <c r="M591" s="80"/>
      <c r="N591" s="96"/>
    </row>
    <row r="592" customFormat="false" ht="22.5" hidden="false" customHeight="true" outlineLevel="0" collapsed="false">
      <c r="A592" s="94"/>
      <c r="B592" s="95"/>
      <c r="C592" s="84"/>
      <c r="D592" s="76"/>
      <c r="E592" s="77"/>
      <c r="F592" s="77"/>
      <c r="G592" s="78"/>
      <c r="H592" s="76" t="str">
        <f aca="true">IF(G592="","",IF(G592=1,"Completed",
IF(G592=0,"Not Started",
IF(AND(F592&lt;&gt;"",ISNUMBER(F592),F592&lt;TODAY()),"Delayed","In Progress")
)
)
)</f>
        <v/>
      </c>
      <c r="I592" s="76"/>
      <c r="J592" s="76"/>
      <c r="K592" s="76"/>
      <c r="L592" s="76"/>
      <c r="M592" s="80"/>
      <c r="N592" s="96"/>
    </row>
    <row r="593" customFormat="false" ht="22.5" hidden="false" customHeight="true" outlineLevel="0" collapsed="false">
      <c r="A593" s="94"/>
      <c r="B593" s="95"/>
      <c r="C593" s="84"/>
      <c r="D593" s="76"/>
      <c r="E593" s="77"/>
      <c r="F593" s="77"/>
      <c r="G593" s="78"/>
      <c r="H593" s="76" t="str">
        <f aca="true">IF(G593="","",IF(G593=1,"Completed",
IF(G593=0,"Not Started",
IF(AND(F593&lt;&gt;"",ISNUMBER(F593),F593&lt;TODAY()),"Delayed","In Progress")
)
)
)</f>
        <v/>
      </c>
      <c r="I593" s="76"/>
      <c r="J593" s="76"/>
      <c r="K593" s="76"/>
      <c r="L593" s="76"/>
      <c r="M593" s="80"/>
      <c r="N593" s="96"/>
    </row>
    <row r="594" customFormat="false" ht="22.5" hidden="false" customHeight="true" outlineLevel="0" collapsed="false">
      <c r="A594" s="94"/>
      <c r="B594" s="95"/>
      <c r="C594" s="84"/>
      <c r="D594" s="76"/>
      <c r="E594" s="77"/>
      <c r="F594" s="77"/>
      <c r="G594" s="78"/>
      <c r="H594" s="76" t="str">
        <f aca="true">IF(G594="","",IF(G594=1,"Completed",
IF(G594=0,"Not Started",
IF(AND(F594&lt;&gt;"",ISNUMBER(F594),F594&lt;TODAY()),"Delayed","In Progress")
)
)
)</f>
        <v/>
      </c>
      <c r="I594" s="76"/>
      <c r="J594" s="76"/>
      <c r="K594" s="76"/>
      <c r="L594" s="76"/>
      <c r="M594" s="80"/>
      <c r="N594" s="96"/>
    </row>
    <row r="595" customFormat="false" ht="22.5" hidden="false" customHeight="true" outlineLevel="0" collapsed="false">
      <c r="A595" s="94"/>
      <c r="B595" s="95"/>
      <c r="C595" s="84"/>
      <c r="D595" s="76"/>
      <c r="E595" s="77"/>
      <c r="F595" s="77"/>
      <c r="G595" s="78"/>
      <c r="H595" s="76" t="str">
        <f aca="true">IF(G595="","",IF(G595=1,"Completed",
IF(G595=0,"Not Started",
IF(AND(F595&lt;&gt;"",ISNUMBER(F595),F595&lt;TODAY()),"Delayed","In Progress")
)
)
)</f>
        <v/>
      </c>
      <c r="I595" s="76"/>
      <c r="J595" s="76"/>
      <c r="K595" s="76"/>
      <c r="L595" s="76"/>
      <c r="M595" s="80"/>
      <c r="N595" s="96"/>
    </row>
    <row r="596" customFormat="false" ht="22.5" hidden="false" customHeight="true" outlineLevel="0" collapsed="false">
      <c r="A596" s="94"/>
      <c r="B596" s="95"/>
      <c r="C596" s="84"/>
      <c r="D596" s="76"/>
      <c r="E596" s="77"/>
      <c r="F596" s="77"/>
      <c r="G596" s="78"/>
      <c r="H596" s="76" t="str">
        <f aca="true">IF(G596="","",IF(G596=1,"Completed",
IF(G596=0,"Not Started",
IF(AND(F596&lt;&gt;"",ISNUMBER(F596),F596&lt;TODAY()),"Delayed","In Progress")
)
)
)</f>
        <v/>
      </c>
      <c r="I596" s="76"/>
      <c r="J596" s="76"/>
      <c r="K596" s="76"/>
      <c r="L596" s="76"/>
      <c r="M596" s="80"/>
      <c r="N596" s="96"/>
    </row>
    <row r="597" customFormat="false" ht="22.5" hidden="false" customHeight="true" outlineLevel="0" collapsed="false">
      <c r="A597" s="94"/>
      <c r="B597" s="95"/>
      <c r="C597" s="84"/>
      <c r="D597" s="76"/>
      <c r="E597" s="77"/>
      <c r="F597" s="77"/>
      <c r="G597" s="78"/>
      <c r="H597" s="76" t="str">
        <f aca="true">IF(G597="","",IF(G597=1,"Completed",
IF(G597=0,"Not Started",
IF(AND(F597&lt;&gt;"",ISNUMBER(F597),F597&lt;TODAY()),"Delayed","In Progress")
)
)
)</f>
        <v/>
      </c>
      <c r="I597" s="76"/>
      <c r="J597" s="76"/>
      <c r="K597" s="76"/>
      <c r="L597" s="76"/>
      <c r="M597" s="80"/>
      <c r="N597" s="96"/>
    </row>
    <row r="598" customFormat="false" ht="22.5" hidden="false" customHeight="true" outlineLevel="0" collapsed="false">
      <c r="A598" s="94"/>
      <c r="B598" s="95"/>
      <c r="C598" s="84"/>
      <c r="D598" s="76"/>
      <c r="E598" s="77"/>
      <c r="F598" s="77"/>
      <c r="G598" s="78"/>
      <c r="H598" s="76" t="str">
        <f aca="true">IF(G598="","",IF(G598=1,"Completed",
IF(G598=0,"Not Started",
IF(AND(F598&lt;&gt;"",ISNUMBER(F598),F598&lt;TODAY()),"Delayed","In Progress")
)
)
)</f>
        <v/>
      </c>
      <c r="I598" s="76"/>
      <c r="J598" s="76"/>
      <c r="K598" s="76"/>
      <c r="L598" s="76"/>
      <c r="M598" s="80"/>
      <c r="N598" s="96"/>
    </row>
    <row r="599" customFormat="false" ht="22.5" hidden="false" customHeight="true" outlineLevel="0" collapsed="false">
      <c r="A599" s="94"/>
      <c r="B599" s="95"/>
      <c r="C599" s="84"/>
      <c r="D599" s="76"/>
      <c r="E599" s="77"/>
      <c r="F599" s="77"/>
      <c r="G599" s="78"/>
      <c r="H599" s="76" t="str">
        <f aca="true">IF(G599="","",IF(G599=1,"Completed",
IF(G599=0,"Not Started",
IF(AND(F599&lt;&gt;"",ISNUMBER(F599),F599&lt;TODAY()),"Delayed","In Progress")
)
)
)</f>
        <v/>
      </c>
      <c r="I599" s="76"/>
      <c r="J599" s="76"/>
      <c r="K599" s="76"/>
      <c r="L599" s="76"/>
      <c r="M599" s="80"/>
      <c r="N599" s="96"/>
    </row>
    <row r="600" customFormat="false" ht="22.5" hidden="false" customHeight="true" outlineLevel="0" collapsed="false">
      <c r="A600" s="94"/>
      <c r="B600" s="95"/>
      <c r="C600" s="84"/>
      <c r="D600" s="76"/>
      <c r="E600" s="77"/>
      <c r="F600" s="77"/>
      <c r="G600" s="78"/>
      <c r="H600" s="76" t="str">
        <f aca="true">IF(G600="","",IF(G600=1,"Completed",
IF(G600=0,"Not Started",
IF(AND(F600&lt;&gt;"",ISNUMBER(F600),F600&lt;TODAY()),"Delayed","In Progress")
)
)
)</f>
        <v/>
      </c>
      <c r="I600" s="76"/>
      <c r="J600" s="76"/>
      <c r="K600" s="76"/>
      <c r="L600" s="76"/>
      <c r="M600" s="80"/>
      <c r="N600" s="96"/>
    </row>
    <row r="601" customFormat="false" ht="22.5" hidden="false" customHeight="true" outlineLevel="0" collapsed="false">
      <c r="A601" s="94"/>
      <c r="B601" s="95"/>
      <c r="C601" s="84"/>
      <c r="D601" s="76"/>
      <c r="E601" s="77"/>
      <c r="F601" s="77"/>
      <c r="G601" s="78"/>
      <c r="H601" s="76" t="str">
        <f aca="true">IF(G601="","",IF(G601=1,"Completed",
IF(G601=0,"Not Started",
IF(AND(F601&lt;&gt;"",ISNUMBER(F601),F601&lt;TODAY()),"Delayed","In Progress")
)
)
)</f>
        <v/>
      </c>
      <c r="I601" s="76"/>
      <c r="J601" s="76"/>
      <c r="K601" s="76"/>
      <c r="L601" s="76"/>
      <c r="M601" s="80"/>
      <c r="N601" s="96"/>
    </row>
    <row r="602" customFormat="false" ht="22.5" hidden="false" customHeight="true" outlineLevel="0" collapsed="false">
      <c r="A602" s="94"/>
      <c r="B602" s="95"/>
      <c r="C602" s="84"/>
      <c r="D602" s="76"/>
      <c r="E602" s="77"/>
      <c r="F602" s="77"/>
      <c r="G602" s="78"/>
      <c r="H602" s="76" t="str">
        <f aca="true">IF(G602="","",IF(G602=1,"Completed",
IF(G602=0,"Not Started",
IF(AND(F602&lt;&gt;"",ISNUMBER(F602),F602&lt;TODAY()),"Delayed","In Progress")
)
)
)</f>
        <v/>
      </c>
      <c r="I602" s="76"/>
      <c r="J602" s="76"/>
      <c r="K602" s="76"/>
      <c r="L602" s="76"/>
      <c r="M602" s="80"/>
      <c r="N602" s="96"/>
    </row>
    <row r="603" customFormat="false" ht="22.5" hidden="false" customHeight="true" outlineLevel="0" collapsed="false">
      <c r="A603" s="94"/>
      <c r="B603" s="95"/>
      <c r="C603" s="84"/>
      <c r="D603" s="76"/>
      <c r="E603" s="77"/>
      <c r="F603" s="77"/>
      <c r="G603" s="78"/>
      <c r="H603" s="76" t="str">
        <f aca="true">IF(G603="","",IF(G603=1,"Completed",
IF(G603=0,"Not Started",
IF(AND(F603&lt;&gt;"",ISNUMBER(F603),F603&lt;TODAY()),"Delayed","In Progress")
)
)
)</f>
        <v/>
      </c>
      <c r="I603" s="76"/>
      <c r="J603" s="76"/>
      <c r="K603" s="76"/>
      <c r="L603" s="76"/>
      <c r="M603" s="80"/>
      <c r="N603" s="96"/>
    </row>
    <row r="604" customFormat="false" ht="22.5" hidden="false" customHeight="true" outlineLevel="0" collapsed="false">
      <c r="A604" s="94"/>
      <c r="B604" s="95"/>
      <c r="C604" s="84"/>
      <c r="D604" s="76"/>
      <c r="E604" s="77"/>
      <c r="F604" s="77"/>
      <c r="G604" s="78"/>
      <c r="H604" s="76" t="str">
        <f aca="true">IF(G604="","",IF(G604=1,"Completed",
IF(G604=0,"Not Started",
IF(AND(F604&lt;&gt;"",ISNUMBER(F604),F604&lt;TODAY()),"Delayed","In Progress")
)
)
)</f>
        <v/>
      </c>
      <c r="I604" s="76"/>
      <c r="J604" s="76"/>
      <c r="K604" s="76"/>
      <c r="L604" s="76"/>
      <c r="M604" s="80"/>
      <c r="N604" s="96"/>
    </row>
    <row r="605" customFormat="false" ht="22.5" hidden="false" customHeight="true" outlineLevel="0" collapsed="false">
      <c r="A605" s="94"/>
      <c r="B605" s="95"/>
      <c r="C605" s="84"/>
      <c r="D605" s="76"/>
      <c r="E605" s="77"/>
      <c r="F605" s="77"/>
      <c r="G605" s="78"/>
      <c r="H605" s="76" t="str">
        <f aca="true">IF(G605="","",IF(G605=1,"Completed",
IF(G605=0,"Not Started",
IF(AND(F605&lt;&gt;"",ISNUMBER(F605),F605&lt;TODAY()),"Delayed","In Progress")
)
)
)</f>
        <v/>
      </c>
      <c r="I605" s="76"/>
      <c r="J605" s="76"/>
      <c r="K605" s="76"/>
      <c r="L605" s="76"/>
      <c r="M605" s="80"/>
      <c r="N605" s="96"/>
    </row>
    <row r="606" customFormat="false" ht="22.5" hidden="false" customHeight="true" outlineLevel="0" collapsed="false">
      <c r="A606" s="94"/>
      <c r="B606" s="95"/>
      <c r="C606" s="84"/>
      <c r="D606" s="76"/>
      <c r="E606" s="77"/>
      <c r="F606" s="77"/>
      <c r="G606" s="78"/>
      <c r="H606" s="76" t="str">
        <f aca="true">IF(G606="","",IF(G606=1,"Completed",
IF(G606=0,"Not Started",
IF(AND(F606&lt;&gt;"",ISNUMBER(F606),F606&lt;TODAY()),"Delayed","In Progress")
)
)
)</f>
        <v/>
      </c>
      <c r="I606" s="76"/>
      <c r="J606" s="76"/>
      <c r="K606" s="76"/>
      <c r="L606" s="76"/>
      <c r="M606" s="80"/>
      <c r="N606" s="96"/>
    </row>
    <row r="607" customFormat="false" ht="22.5" hidden="false" customHeight="true" outlineLevel="0" collapsed="false">
      <c r="A607" s="94"/>
      <c r="B607" s="95"/>
      <c r="C607" s="84"/>
      <c r="D607" s="76"/>
      <c r="E607" s="77"/>
      <c r="F607" s="77"/>
      <c r="G607" s="78"/>
      <c r="H607" s="76" t="str">
        <f aca="true">IF(G607="","",IF(G607=1,"Completed",
IF(G607=0,"Not Started",
IF(AND(F607&lt;&gt;"",ISNUMBER(F607),F607&lt;TODAY()),"Delayed","In Progress")
)
)
)</f>
        <v/>
      </c>
      <c r="I607" s="76"/>
      <c r="J607" s="76"/>
      <c r="K607" s="76"/>
      <c r="L607" s="76"/>
      <c r="M607" s="80"/>
      <c r="N607" s="96"/>
    </row>
    <row r="608" customFormat="false" ht="22.5" hidden="false" customHeight="true" outlineLevel="0" collapsed="false">
      <c r="A608" s="94"/>
      <c r="B608" s="95"/>
      <c r="C608" s="84"/>
      <c r="D608" s="76"/>
      <c r="E608" s="77"/>
      <c r="F608" s="77"/>
      <c r="G608" s="78"/>
      <c r="H608" s="76" t="str">
        <f aca="true">IF(G608="","",IF(G608=1,"Completed",
IF(G608=0,"Not Started",
IF(AND(F608&lt;&gt;"",ISNUMBER(F608),F608&lt;TODAY()),"Delayed","In Progress")
)
)
)</f>
        <v/>
      </c>
      <c r="I608" s="76"/>
      <c r="J608" s="76"/>
      <c r="K608" s="76"/>
      <c r="L608" s="76"/>
      <c r="M608" s="80"/>
      <c r="N608" s="96"/>
    </row>
    <row r="609" customFormat="false" ht="22.5" hidden="false" customHeight="true" outlineLevel="0" collapsed="false">
      <c r="A609" s="94"/>
      <c r="B609" s="95"/>
      <c r="C609" s="84"/>
      <c r="D609" s="76"/>
      <c r="E609" s="77"/>
      <c r="F609" s="77"/>
      <c r="G609" s="78"/>
      <c r="H609" s="76" t="str">
        <f aca="true">IF(G609="","",IF(G609=1,"Completed",
IF(G609=0,"Not Started",
IF(AND(F609&lt;&gt;"",ISNUMBER(F609),F609&lt;TODAY()),"Delayed","In Progress")
)
)
)</f>
        <v/>
      </c>
      <c r="I609" s="76"/>
      <c r="J609" s="76"/>
      <c r="K609" s="76"/>
      <c r="L609" s="76"/>
      <c r="M609" s="80"/>
      <c r="N609" s="96"/>
    </row>
    <row r="610" customFormat="false" ht="22.5" hidden="false" customHeight="true" outlineLevel="0" collapsed="false">
      <c r="A610" s="94"/>
      <c r="B610" s="95"/>
      <c r="C610" s="84"/>
      <c r="D610" s="76"/>
      <c r="E610" s="77"/>
      <c r="F610" s="77"/>
      <c r="G610" s="78"/>
      <c r="H610" s="76" t="str">
        <f aca="true">IF(G610="","",IF(G610=1,"Completed",
IF(G610=0,"Not Started",
IF(AND(F610&lt;&gt;"",ISNUMBER(F610),F610&lt;TODAY()),"Delayed","In Progress")
)
)
)</f>
        <v/>
      </c>
      <c r="I610" s="76"/>
      <c r="J610" s="76"/>
      <c r="K610" s="76"/>
      <c r="L610" s="76"/>
      <c r="M610" s="80"/>
      <c r="N610" s="96"/>
    </row>
    <row r="611" customFormat="false" ht="22.5" hidden="false" customHeight="true" outlineLevel="0" collapsed="false">
      <c r="A611" s="94"/>
      <c r="B611" s="95"/>
      <c r="C611" s="84"/>
      <c r="D611" s="76"/>
      <c r="E611" s="77"/>
      <c r="F611" s="77"/>
      <c r="G611" s="78"/>
      <c r="H611" s="76" t="str">
        <f aca="true">IF(G611="","",IF(G611=1,"Completed",
IF(G611=0,"Not Started",
IF(AND(F611&lt;&gt;"",ISNUMBER(F611),F611&lt;TODAY()),"Delayed","In Progress")
)
)
)</f>
        <v/>
      </c>
      <c r="I611" s="76"/>
      <c r="J611" s="76"/>
      <c r="K611" s="76"/>
      <c r="L611" s="76"/>
      <c r="M611" s="80"/>
      <c r="N611" s="96"/>
    </row>
    <row r="612" customFormat="false" ht="22.5" hidden="false" customHeight="true" outlineLevel="0" collapsed="false">
      <c r="A612" s="94"/>
      <c r="B612" s="95"/>
      <c r="C612" s="84"/>
      <c r="D612" s="76"/>
      <c r="E612" s="77"/>
      <c r="F612" s="77"/>
      <c r="G612" s="78"/>
      <c r="H612" s="76" t="str">
        <f aca="true">IF(G612="","",IF(G612=1,"Completed",
IF(G612=0,"Not Started",
IF(AND(F612&lt;&gt;"",ISNUMBER(F612),F612&lt;TODAY()),"Delayed","In Progress")
)
)
)</f>
        <v/>
      </c>
      <c r="I612" s="76"/>
      <c r="J612" s="76"/>
      <c r="K612" s="76"/>
      <c r="L612" s="76"/>
      <c r="M612" s="80"/>
      <c r="N612" s="96"/>
    </row>
    <row r="613" customFormat="false" ht="22.5" hidden="false" customHeight="true" outlineLevel="0" collapsed="false">
      <c r="A613" s="94"/>
      <c r="B613" s="95"/>
      <c r="C613" s="84"/>
      <c r="D613" s="76"/>
      <c r="E613" s="77"/>
      <c r="F613" s="77"/>
      <c r="G613" s="78"/>
      <c r="H613" s="76" t="str">
        <f aca="true">IF(G613="","",IF(G613=1,"Completed",
IF(G613=0,"Not Started",
IF(AND(F613&lt;&gt;"",ISNUMBER(F613),F613&lt;TODAY()),"Delayed","In Progress")
)
)
)</f>
        <v/>
      </c>
      <c r="I613" s="76"/>
      <c r="J613" s="76"/>
      <c r="K613" s="76"/>
      <c r="L613" s="76"/>
      <c r="M613" s="80"/>
      <c r="N613" s="96"/>
    </row>
    <row r="614" customFormat="false" ht="22.5" hidden="false" customHeight="true" outlineLevel="0" collapsed="false">
      <c r="A614" s="94"/>
      <c r="B614" s="95"/>
      <c r="C614" s="84"/>
      <c r="D614" s="76"/>
      <c r="E614" s="77"/>
      <c r="F614" s="77"/>
      <c r="G614" s="78"/>
      <c r="H614" s="76" t="str">
        <f aca="true">IF(G614="","",IF(G614=1,"Completed",
IF(G614=0,"Not Started",
IF(AND(F614&lt;&gt;"",ISNUMBER(F614),F614&lt;TODAY()),"Delayed","In Progress")
)
)
)</f>
        <v/>
      </c>
      <c r="I614" s="76"/>
      <c r="J614" s="76"/>
      <c r="K614" s="76"/>
      <c r="L614" s="76"/>
      <c r="M614" s="80"/>
      <c r="N614" s="96"/>
    </row>
    <row r="615" customFormat="false" ht="22.5" hidden="false" customHeight="true" outlineLevel="0" collapsed="false">
      <c r="A615" s="94"/>
      <c r="B615" s="95"/>
      <c r="C615" s="84"/>
      <c r="D615" s="76"/>
      <c r="E615" s="77"/>
      <c r="F615" s="77"/>
      <c r="G615" s="78"/>
      <c r="H615" s="76" t="str">
        <f aca="true">IF(G615="","",IF(G615=1,"Completed",
IF(G615=0,"Not Started",
IF(AND(F615&lt;&gt;"",ISNUMBER(F615),F615&lt;TODAY()),"Delayed","In Progress")
)
)
)</f>
        <v/>
      </c>
      <c r="I615" s="76"/>
      <c r="J615" s="76"/>
      <c r="K615" s="76"/>
      <c r="L615" s="76"/>
      <c r="M615" s="80"/>
      <c r="N615" s="96"/>
    </row>
    <row r="616" customFormat="false" ht="22.5" hidden="false" customHeight="true" outlineLevel="0" collapsed="false">
      <c r="A616" s="94"/>
      <c r="B616" s="95"/>
      <c r="C616" s="84"/>
      <c r="D616" s="76"/>
      <c r="E616" s="77"/>
      <c r="F616" s="77"/>
      <c r="G616" s="78"/>
      <c r="H616" s="76" t="str">
        <f aca="true">IF(G616="","",IF(G616=1,"Completed",
IF(G616=0,"Not Started",
IF(AND(F616&lt;&gt;"",ISNUMBER(F616),F616&lt;TODAY()),"Delayed","In Progress")
)
)
)</f>
        <v/>
      </c>
      <c r="I616" s="76"/>
      <c r="J616" s="76"/>
      <c r="K616" s="76"/>
      <c r="L616" s="76"/>
      <c r="M616" s="80"/>
      <c r="N616" s="96"/>
    </row>
    <row r="617" customFormat="false" ht="22.5" hidden="false" customHeight="true" outlineLevel="0" collapsed="false">
      <c r="A617" s="94"/>
      <c r="B617" s="95"/>
      <c r="C617" s="84"/>
      <c r="D617" s="76"/>
      <c r="E617" s="77"/>
      <c r="F617" s="77"/>
      <c r="G617" s="78"/>
      <c r="H617" s="76" t="str">
        <f aca="true">IF(G617="","",IF(G617=1,"Completed",
IF(G617=0,"Not Started",
IF(AND(F617&lt;&gt;"",ISNUMBER(F617),F617&lt;TODAY()),"Delayed","In Progress")
)
)
)</f>
        <v/>
      </c>
      <c r="I617" s="76"/>
      <c r="J617" s="76"/>
      <c r="K617" s="76"/>
      <c r="L617" s="76"/>
      <c r="M617" s="80"/>
      <c r="N617" s="96"/>
    </row>
    <row r="618" customFormat="false" ht="22.5" hidden="false" customHeight="true" outlineLevel="0" collapsed="false">
      <c r="A618" s="94"/>
      <c r="B618" s="95"/>
      <c r="C618" s="84"/>
      <c r="D618" s="76"/>
      <c r="E618" s="77"/>
      <c r="F618" s="77"/>
      <c r="G618" s="78"/>
      <c r="H618" s="76" t="str">
        <f aca="true">IF(G618="","",IF(G618=1,"Completed",
IF(G618=0,"Not Started",
IF(AND(F618&lt;&gt;"",ISNUMBER(F618),F618&lt;TODAY()),"Delayed","In Progress")
)
)
)</f>
        <v/>
      </c>
      <c r="I618" s="76"/>
      <c r="J618" s="76"/>
      <c r="K618" s="76"/>
      <c r="L618" s="76"/>
      <c r="M618" s="80"/>
      <c r="N618" s="96"/>
    </row>
    <row r="619" customFormat="false" ht="22.5" hidden="false" customHeight="true" outlineLevel="0" collapsed="false">
      <c r="A619" s="94"/>
      <c r="B619" s="95"/>
      <c r="C619" s="84"/>
      <c r="D619" s="76"/>
      <c r="E619" s="77"/>
      <c r="F619" s="77"/>
      <c r="G619" s="78"/>
      <c r="H619" s="76" t="str">
        <f aca="true">IF(G619="","",IF(G619=1,"Completed",
IF(G619=0,"Not Started",
IF(AND(F619&lt;&gt;"",ISNUMBER(F619),F619&lt;TODAY()),"Delayed","In Progress")
)
)
)</f>
        <v/>
      </c>
      <c r="I619" s="76"/>
      <c r="J619" s="76"/>
      <c r="K619" s="76"/>
      <c r="L619" s="76"/>
      <c r="M619" s="80"/>
      <c r="N619" s="96"/>
    </row>
    <row r="620" customFormat="false" ht="22.5" hidden="false" customHeight="true" outlineLevel="0" collapsed="false">
      <c r="A620" s="94"/>
      <c r="B620" s="95"/>
      <c r="C620" s="84"/>
      <c r="D620" s="76"/>
      <c r="E620" s="77"/>
      <c r="F620" s="77"/>
      <c r="G620" s="78"/>
      <c r="H620" s="76" t="str">
        <f aca="true">IF(G620="","",IF(G620=1,"Completed",
IF(G620=0,"Not Started",
IF(AND(F620&lt;&gt;"",ISNUMBER(F620),F620&lt;TODAY()),"Delayed","In Progress")
)
)
)</f>
        <v/>
      </c>
      <c r="I620" s="76"/>
      <c r="J620" s="76"/>
      <c r="K620" s="76"/>
      <c r="L620" s="76"/>
      <c r="M620" s="80"/>
      <c r="N620" s="96"/>
    </row>
    <row r="621" customFormat="false" ht="22.5" hidden="false" customHeight="true" outlineLevel="0" collapsed="false">
      <c r="A621" s="94"/>
      <c r="B621" s="95"/>
      <c r="C621" s="84"/>
      <c r="D621" s="76"/>
      <c r="E621" s="77"/>
      <c r="F621" s="77"/>
      <c r="G621" s="78"/>
      <c r="H621" s="76" t="str">
        <f aca="true">IF(G621="","",IF(G621=1,"Completed",
IF(G621=0,"Not Started",
IF(AND(F621&lt;&gt;"",ISNUMBER(F621),F621&lt;TODAY()),"Delayed","In Progress")
)
)
)</f>
        <v/>
      </c>
      <c r="I621" s="76"/>
      <c r="J621" s="76"/>
      <c r="K621" s="76"/>
      <c r="L621" s="76"/>
      <c r="M621" s="80"/>
      <c r="N621" s="96"/>
    </row>
    <row r="622" customFormat="false" ht="22.5" hidden="false" customHeight="true" outlineLevel="0" collapsed="false">
      <c r="A622" s="94"/>
      <c r="B622" s="95"/>
      <c r="C622" s="84"/>
      <c r="D622" s="76"/>
      <c r="E622" s="77"/>
      <c r="F622" s="77"/>
      <c r="G622" s="78"/>
      <c r="H622" s="76" t="str">
        <f aca="true">IF(G622="","",IF(G622=1,"Completed",
IF(G622=0,"Not Started",
IF(AND(F622&lt;&gt;"",ISNUMBER(F622),F622&lt;TODAY()),"Delayed","In Progress")
)
)
)</f>
        <v/>
      </c>
      <c r="I622" s="76"/>
      <c r="J622" s="76"/>
      <c r="K622" s="76"/>
      <c r="L622" s="76"/>
      <c r="M622" s="80"/>
      <c r="N622" s="96"/>
    </row>
    <row r="623" customFormat="false" ht="22.5" hidden="false" customHeight="true" outlineLevel="0" collapsed="false">
      <c r="A623" s="94"/>
      <c r="B623" s="95"/>
      <c r="C623" s="84"/>
      <c r="D623" s="76"/>
      <c r="E623" s="77"/>
      <c r="F623" s="77"/>
      <c r="G623" s="78"/>
      <c r="H623" s="76" t="str">
        <f aca="true">IF(G623="","",IF(G623=1,"Completed",
IF(G623=0,"Not Started",
IF(AND(F623&lt;&gt;"",ISNUMBER(F623),F623&lt;TODAY()),"Delayed","In Progress")
)
)
)</f>
        <v/>
      </c>
      <c r="I623" s="76"/>
      <c r="J623" s="76"/>
      <c r="K623" s="76"/>
      <c r="L623" s="76"/>
      <c r="M623" s="80"/>
      <c r="N623" s="96"/>
    </row>
    <row r="624" customFormat="false" ht="22.5" hidden="false" customHeight="true" outlineLevel="0" collapsed="false">
      <c r="A624" s="94"/>
      <c r="B624" s="95"/>
      <c r="C624" s="84"/>
      <c r="D624" s="76"/>
      <c r="E624" s="77"/>
      <c r="F624" s="77"/>
      <c r="G624" s="78"/>
      <c r="H624" s="76" t="str">
        <f aca="true">IF(G624="","",IF(G624=1,"Completed",
IF(G624=0,"Not Started",
IF(AND(F624&lt;&gt;"",ISNUMBER(F624),F624&lt;TODAY()),"Delayed","In Progress")
)
)
)</f>
        <v/>
      </c>
      <c r="I624" s="76"/>
      <c r="J624" s="76"/>
      <c r="K624" s="76"/>
      <c r="L624" s="76"/>
      <c r="M624" s="80"/>
      <c r="N624" s="96"/>
    </row>
    <row r="625" customFormat="false" ht="22.5" hidden="false" customHeight="true" outlineLevel="0" collapsed="false">
      <c r="A625" s="94"/>
      <c r="B625" s="95"/>
      <c r="C625" s="84"/>
      <c r="D625" s="76"/>
      <c r="E625" s="77"/>
      <c r="F625" s="77"/>
      <c r="G625" s="78"/>
      <c r="H625" s="76" t="str">
        <f aca="true">IF(G625="","",IF(G625=1,"Completed",
IF(G625=0,"Not Started",
IF(AND(F625&lt;&gt;"",ISNUMBER(F625),F625&lt;TODAY()),"Delayed","In Progress")
)
)
)</f>
        <v/>
      </c>
      <c r="I625" s="76"/>
      <c r="J625" s="76"/>
      <c r="K625" s="76"/>
      <c r="L625" s="76"/>
      <c r="M625" s="80"/>
      <c r="N625" s="96"/>
    </row>
    <row r="626" customFormat="false" ht="22.5" hidden="false" customHeight="true" outlineLevel="0" collapsed="false">
      <c r="A626" s="94"/>
      <c r="B626" s="95"/>
      <c r="C626" s="84"/>
      <c r="D626" s="76"/>
      <c r="E626" s="77"/>
      <c r="F626" s="77"/>
      <c r="G626" s="78"/>
      <c r="H626" s="76" t="str">
        <f aca="true">IF(G626="","",IF(G626=1,"Completed",
IF(G626=0,"Not Started",
IF(AND(F626&lt;&gt;"",ISNUMBER(F626),F626&lt;TODAY()),"Delayed","In Progress")
)
)
)</f>
        <v/>
      </c>
      <c r="I626" s="76"/>
      <c r="J626" s="76"/>
      <c r="K626" s="76"/>
      <c r="L626" s="76"/>
      <c r="M626" s="80"/>
      <c r="N626" s="96"/>
    </row>
    <row r="627" customFormat="false" ht="22.5" hidden="false" customHeight="true" outlineLevel="0" collapsed="false">
      <c r="A627" s="94"/>
      <c r="B627" s="95"/>
      <c r="C627" s="84"/>
      <c r="D627" s="76"/>
      <c r="E627" s="77"/>
      <c r="F627" s="77"/>
      <c r="G627" s="78"/>
      <c r="H627" s="76" t="str">
        <f aca="true">IF(G627="","",IF(G627=1,"Completed",
IF(G627=0,"Not Started",
IF(AND(F627&lt;&gt;"",ISNUMBER(F627),F627&lt;TODAY()),"Delayed","In Progress")
)
)
)</f>
        <v/>
      </c>
      <c r="I627" s="76"/>
      <c r="J627" s="76"/>
      <c r="K627" s="76"/>
      <c r="L627" s="76"/>
      <c r="M627" s="80"/>
      <c r="N627" s="96"/>
    </row>
    <row r="628" customFormat="false" ht="22.5" hidden="false" customHeight="true" outlineLevel="0" collapsed="false">
      <c r="A628" s="94"/>
      <c r="B628" s="95"/>
      <c r="C628" s="84"/>
      <c r="D628" s="76"/>
      <c r="E628" s="77"/>
      <c r="F628" s="77"/>
      <c r="G628" s="78"/>
      <c r="H628" s="76" t="str">
        <f aca="true">IF(G628="","",IF(G628=1,"Completed",
IF(G628=0,"Not Started",
IF(AND(F628&lt;&gt;"",ISNUMBER(F628),F628&lt;TODAY()),"Delayed","In Progress")
)
)
)</f>
        <v/>
      </c>
      <c r="I628" s="76"/>
      <c r="J628" s="76"/>
      <c r="K628" s="76"/>
      <c r="L628" s="76"/>
      <c r="M628" s="80"/>
      <c r="N628" s="96"/>
    </row>
    <row r="629" customFormat="false" ht="22.5" hidden="false" customHeight="true" outlineLevel="0" collapsed="false">
      <c r="A629" s="94"/>
      <c r="B629" s="95"/>
      <c r="C629" s="84"/>
      <c r="D629" s="76"/>
      <c r="E629" s="77"/>
      <c r="F629" s="77"/>
      <c r="G629" s="78"/>
      <c r="H629" s="76" t="str">
        <f aca="true">IF(G629="","",IF(G629=1,"Completed",
IF(G629=0,"Not Started",
IF(AND(F629&lt;&gt;"",ISNUMBER(F629),F629&lt;TODAY()),"Delayed","In Progress")
)
)
)</f>
        <v/>
      </c>
      <c r="I629" s="76"/>
      <c r="J629" s="76"/>
      <c r="K629" s="76"/>
      <c r="L629" s="76"/>
      <c r="M629" s="80"/>
      <c r="N629" s="96"/>
    </row>
    <row r="630" customFormat="false" ht="22.5" hidden="false" customHeight="true" outlineLevel="0" collapsed="false">
      <c r="A630" s="94"/>
      <c r="B630" s="95"/>
      <c r="C630" s="84"/>
      <c r="D630" s="76"/>
      <c r="E630" s="77"/>
      <c r="F630" s="77"/>
      <c r="G630" s="78"/>
      <c r="H630" s="76" t="str">
        <f aca="true">IF(G630="","",IF(G630=1,"Completed",
IF(G630=0,"Not Started",
IF(AND(F630&lt;&gt;"",ISNUMBER(F630),F630&lt;TODAY()),"Delayed","In Progress")
)
)
)</f>
        <v/>
      </c>
      <c r="I630" s="76"/>
      <c r="J630" s="76"/>
      <c r="K630" s="76"/>
      <c r="L630" s="76"/>
      <c r="M630" s="80"/>
      <c r="N630" s="96"/>
    </row>
    <row r="631" customFormat="false" ht="22.5" hidden="false" customHeight="true" outlineLevel="0" collapsed="false">
      <c r="A631" s="94"/>
      <c r="B631" s="95"/>
      <c r="C631" s="84"/>
      <c r="D631" s="76"/>
      <c r="E631" s="77"/>
      <c r="F631" s="77"/>
      <c r="G631" s="78"/>
      <c r="H631" s="76" t="str">
        <f aca="true">IF(G631="","",IF(G631=1,"Completed",
IF(G631=0,"Not Started",
IF(AND(F631&lt;&gt;"",ISNUMBER(F631),F631&lt;TODAY()),"Delayed","In Progress")
)
)
)</f>
        <v/>
      </c>
      <c r="I631" s="76"/>
      <c r="J631" s="76"/>
      <c r="K631" s="76"/>
      <c r="L631" s="76"/>
      <c r="M631" s="80"/>
      <c r="N631" s="96"/>
    </row>
    <row r="632" customFormat="false" ht="22.5" hidden="false" customHeight="true" outlineLevel="0" collapsed="false">
      <c r="A632" s="94"/>
      <c r="B632" s="95"/>
      <c r="C632" s="84"/>
      <c r="D632" s="76"/>
      <c r="E632" s="77"/>
      <c r="F632" s="77"/>
      <c r="G632" s="78"/>
      <c r="H632" s="76" t="str">
        <f aca="true">IF(G632="","",IF(G632=1,"Completed",
IF(G632=0,"Not Started",
IF(AND(F632&lt;&gt;"",ISNUMBER(F632),F632&lt;TODAY()),"Delayed","In Progress")
)
)
)</f>
        <v/>
      </c>
      <c r="I632" s="76"/>
      <c r="J632" s="76"/>
      <c r="K632" s="76"/>
      <c r="L632" s="76"/>
      <c r="M632" s="80"/>
      <c r="N632" s="96"/>
    </row>
    <row r="633" customFormat="false" ht="22.5" hidden="false" customHeight="true" outlineLevel="0" collapsed="false">
      <c r="A633" s="94"/>
      <c r="B633" s="95"/>
      <c r="C633" s="84"/>
      <c r="D633" s="76"/>
      <c r="E633" s="77"/>
      <c r="F633" s="77"/>
      <c r="G633" s="78"/>
      <c r="H633" s="76" t="str">
        <f aca="true">IF(G633="","",IF(G633=1,"Completed",
IF(G633=0,"Not Started",
IF(AND(F633&lt;&gt;"",ISNUMBER(F633),F633&lt;TODAY()),"Delayed","In Progress")
)
)
)</f>
        <v/>
      </c>
      <c r="I633" s="76"/>
      <c r="J633" s="76"/>
      <c r="K633" s="76"/>
      <c r="L633" s="76"/>
      <c r="M633" s="80"/>
      <c r="N633" s="96"/>
    </row>
    <row r="634" customFormat="false" ht="22.5" hidden="false" customHeight="true" outlineLevel="0" collapsed="false">
      <c r="A634" s="94"/>
      <c r="B634" s="95"/>
      <c r="C634" s="84"/>
      <c r="D634" s="76"/>
      <c r="E634" s="77"/>
      <c r="F634" s="77"/>
      <c r="G634" s="78"/>
      <c r="H634" s="76" t="str">
        <f aca="true">IF(G634="","",IF(G634=1,"Completed",
IF(G634=0,"Not Started",
IF(AND(F634&lt;&gt;"",ISNUMBER(F634),F634&lt;TODAY()),"Delayed","In Progress")
)
)
)</f>
        <v/>
      </c>
      <c r="I634" s="76"/>
      <c r="J634" s="76"/>
      <c r="K634" s="76"/>
      <c r="L634" s="76"/>
      <c r="M634" s="80"/>
      <c r="N634" s="96"/>
    </row>
    <row r="635" customFormat="false" ht="22.5" hidden="false" customHeight="true" outlineLevel="0" collapsed="false">
      <c r="A635" s="94"/>
      <c r="B635" s="95"/>
      <c r="C635" s="84"/>
      <c r="D635" s="76"/>
      <c r="E635" s="77"/>
      <c r="F635" s="77"/>
      <c r="G635" s="78"/>
      <c r="H635" s="76" t="str">
        <f aca="true">IF(G635="","",IF(G635=1,"Completed",
IF(G635=0,"Not Started",
IF(AND(F635&lt;&gt;"",ISNUMBER(F635),F635&lt;TODAY()),"Delayed","In Progress")
)
)
)</f>
        <v/>
      </c>
      <c r="I635" s="76"/>
      <c r="J635" s="76"/>
      <c r="K635" s="76"/>
      <c r="L635" s="76"/>
      <c r="M635" s="80"/>
      <c r="N635" s="96"/>
    </row>
    <row r="636" customFormat="false" ht="22.5" hidden="false" customHeight="true" outlineLevel="0" collapsed="false">
      <c r="A636" s="94"/>
      <c r="B636" s="95"/>
      <c r="C636" s="84"/>
      <c r="D636" s="76"/>
      <c r="E636" s="77"/>
      <c r="F636" s="77"/>
      <c r="G636" s="78"/>
      <c r="H636" s="76" t="str">
        <f aca="true">IF(G636="","",IF(G636=1,"Completed",
IF(G636=0,"Not Started",
IF(AND(F636&lt;&gt;"",ISNUMBER(F636),F636&lt;TODAY()),"Delayed","In Progress")
)
)
)</f>
        <v/>
      </c>
      <c r="I636" s="76"/>
      <c r="J636" s="76"/>
      <c r="K636" s="76"/>
      <c r="L636" s="76"/>
      <c r="M636" s="80"/>
      <c r="N636" s="96"/>
    </row>
    <row r="637" customFormat="false" ht="22.5" hidden="false" customHeight="true" outlineLevel="0" collapsed="false">
      <c r="A637" s="94"/>
      <c r="B637" s="95"/>
      <c r="C637" s="84"/>
      <c r="D637" s="76"/>
      <c r="E637" s="77"/>
      <c r="F637" s="77"/>
      <c r="G637" s="78"/>
      <c r="H637" s="76" t="str">
        <f aca="true">IF(G637="","",IF(G637=1,"Completed",
IF(G637=0,"Not Started",
IF(AND(F637&lt;&gt;"",ISNUMBER(F637),F637&lt;TODAY()),"Delayed","In Progress")
)
)
)</f>
        <v/>
      </c>
      <c r="I637" s="76"/>
      <c r="J637" s="76"/>
      <c r="K637" s="76"/>
      <c r="L637" s="76"/>
      <c r="M637" s="80"/>
      <c r="N637" s="96"/>
    </row>
    <row r="638" customFormat="false" ht="22.5" hidden="false" customHeight="true" outlineLevel="0" collapsed="false">
      <c r="A638" s="94"/>
      <c r="B638" s="95"/>
      <c r="C638" s="84"/>
      <c r="D638" s="76"/>
      <c r="E638" s="77"/>
      <c r="F638" s="77"/>
      <c r="G638" s="78"/>
      <c r="H638" s="76" t="str">
        <f aca="true">IF(G638="","",IF(G638=1,"Completed",
IF(G638=0,"Not Started",
IF(AND(F638&lt;&gt;"",ISNUMBER(F638),F638&lt;TODAY()),"Delayed","In Progress")
)
)
)</f>
        <v/>
      </c>
      <c r="I638" s="76"/>
      <c r="J638" s="76"/>
      <c r="K638" s="76"/>
      <c r="L638" s="76"/>
      <c r="M638" s="80"/>
      <c r="N638" s="96"/>
    </row>
    <row r="639" customFormat="false" ht="22.5" hidden="false" customHeight="true" outlineLevel="0" collapsed="false">
      <c r="A639" s="94"/>
      <c r="B639" s="95"/>
      <c r="C639" s="84"/>
      <c r="D639" s="76"/>
      <c r="E639" s="77"/>
      <c r="F639" s="77"/>
      <c r="G639" s="78"/>
      <c r="H639" s="76" t="str">
        <f aca="true">IF(G639="","",IF(G639=1,"Completed",
IF(G639=0,"Not Started",
IF(AND(F639&lt;&gt;"",ISNUMBER(F639),F639&lt;TODAY()),"Delayed","In Progress")
)
)
)</f>
        <v/>
      </c>
      <c r="I639" s="76"/>
      <c r="J639" s="76"/>
      <c r="K639" s="76"/>
      <c r="L639" s="76"/>
      <c r="M639" s="80"/>
      <c r="N639" s="96"/>
    </row>
    <row r="640" customFormat="false" ht="22.5" hidden="false" customHeight="true" outlineLevel="0" collapsed="false">
      <c r="A640" s="94"/>
      <c r="B640" s="95"/>
      <c r="C640" s="84"/>
      <c r="D640" s="76"/>
      <c r="E640" s="77"/>
      <c r="F640" s="77"/>
      <c r="G640" s="78"/>
      <c r="H640" s="76" t="str">
        <f aca="true">IF(G640="","",IF(G640=1,"Completed",
IF(G640=0,"Not Started",
IF(AND(F640&lt;&gt;"",ISNUMBER(F640),F640&lt;TODAY()),"Delayed","In Progress")
)
)
)</f>
        <v/>
      </c>
      <c r="I640" s="76"/>
      <c r="J640" s="76"/>
      <c r="K640" s="76"/>
      <c r="L640" s="76"/>
      <c r="M640" s="80"/>
      <c r="N640" s="96"/>
    </row>
    <row r="641" customFormat="false" ht="22.5" hidden="false" customHeight="true" outlineLevel="0" collapsed="false">
      <c r="A641" s="94"/>
      <c r="B641" s="95"/>
      <c r="C641" s="84"/>
      <c r="D641" s="76"/>
      <c r="E641" s="77"/>
      <c r="F641" s="77"/>
      <c r="G641" s="78"/>
      <c r="H641" s="76" t="str">
        <f aca="true">IF(G641="","",IF(G641=1,"Completed",
IF(G641=0,"Not Started",
IF(AND(F641&lt;&gt;"",ISNUMBER(F641),F641&lt;TODAY()),"Delayed","In Progress")
)
)
)</f>
        <v/>
      </c>
      <c r="I641" s="76"/>
      <c r="J641" s="76"/>
      <c r="K641" s="76"/>
      <c r="L641" s="76"/>
      <c r="M641" s="80"/>
      <c r="N641" s="96"/>
    </row>
    <row r="642" customFormat="false" ht="22.5" hidden="false" customHeight="true" outlineLevel="0" collapsed="false">
      <c r="A642" s="94"/>
      <c r="B642" s="95"/>
      <c r="C642" s="84"/>
      <c r="D642" s="76"/>
      <c r="E642" s="77"/>
      <c r="F642" s="77"/>
      <c r="G642" s="78"/>
      <c r="H642" s="76" t="str">
        <f aca="true">IF(G642="","",IF(G642=1,"Completed",
IF(G642=0,"Not Started",
IF(AND(F642&lt;&gt;"",ISNUMBER(F642),F642&lt;TODAY()),"Delayed","In Progress")
)
)
)</f>
        <v/>
      </c>
      <c r="I642" s="76"/>
      <c r="J642" s="76"/>
      <c r="K642" s="76"/>
      <c r="L642" s="76"/>
      <c r="M642" s="80"/>
      <c r="N642" s="96"/>
    </row>
    <row r="643" customFormat="false" ht="22.5" hidden="false" customHeight="true" outlineLevel="0" collapsed="false">
      <c r="A643" s="94"/>
      <c r="B643" s="95"/>
      <c r="C643" s="84"/>
      <c r="D643" s="76"/>
      <c r="E643" s="77"/>
      <c r="F643" s="77"/>
      <c r="G643" s="78"/>
      <c r="H643" s="76" t="str">
        <f aca="true">IF(G643="","",IF(G643=1,"Completed",
IF(G643=0,"Not Started",
IF(AND(F643&lt;&gt;"",ISNUMBER(F643),F643&lt;TODAY()),"Delayed","In Progress")
)
)
)</f>
        <v/>
      </c>
      <c r="I643" s="76"/>
      <c r="J643" s="76"/>
      <c r="K643" s="76"/>
      <c r="L643" s="76"/>
      <c r="M643" s="80"/>
      <c r="N643" s="96"/>
    </row>
    <row r="644" customFormat="false" ht="22.5" hidden="false" customHeight="true" outlineLevel="0" collapsed="false">
      <c r="A644" s="94"/>
      <c r="B644" s="95"/>
      <c r="C644" s="84"/>
      <c r="D644" s="76"/>
      <c r="E644" s="77"/>
      <c r="F644" s="77"/>
      <c r="G644" s="78"/>
      <c r="H644" s="76" t="str">
        <f aca="true">IF(G644="","",IF(G644=1,"Completed",
IF(G644=0,"Not Started",
IF(AND(F644&lt;&gt;"",ISNUMBER(F644),F644&lt;TODAY()),"Delayed","In Progress")
)
)
)</f>
        <v/>
      </c>
      <c r="I644" s="76"/>
      <c r="J644" s="76"/>
      <c r="K644" s="76"/>
      <c r="L644" s="76"/>
      <c r="M644" s="80"/>
      <c r="N644" s="96"/>
    </row>
    <row r="645" customFormat="false" ht="22.5" hidden="false" customHeight="true" outlineLevel="0" collapsed="false">
      <c r="A645" s="94"/>
      <c r="B645" s="95"/>
      <c r="C645" s="84"/>
      <c r="D645" s="76"/>
      <c r="E645" s="77"/>
      <c r="F645" s="77"/>
      <c r="G645" s="78"/>
      <c r="H645" s="76" t="str">
        <f aca="true">IF(G645="","",IF(G645=1,"Completed",
IF(G645=0,"Not Started",
IF(AND(F645&lt;&gt;"",ISNUMBER(F645),F645&lt;TODAY()),"Delayed","In Progress")
)
)
)</f>
        <v/>
      </c>
      <c r="I645" s="76"/>
      <c r="J645" s="76"/>
      <c r="K645" s="76"/>
      <c r="L645" s="76"/>
      <c r="M645" s="80"/>
      <c r="N645" s="96"/>
    </row>
    <row r="646" customFormat="false" ht="22.5" hidden="false" customHeight="true" outlineLevel="0" collapsed="false">
      <c r="A646" s="94"/>
      <c r="B646" s="95"/>
      <c r="C646" s="84"/>
      <c r="D646" s="76"/>
      <c r="E646" s="77"/>
      <c r="F646" s="77"/>
      <c r="G646" s="78"/>
      <c r="H646" s="76" t="str">
        <f aca="true">IF(G646="","",IF(G646=1,"Completed",
  IF(G646=0,"Not Started",
   IF(AND(F646&lt;&gt;"",ISNUMBER(F646),F646&lt;TODAY()),"Delayed","In Progress")
  )
 )
)</f>
        <v/>
      </c>
      <c r="I646" s="76"/>
      <c r="J646" s="76"/>
      <c r="K646" s="76"/>
      <c r="L646" s="76"/>
      <c r="M646" s="80"/>
      <c r="N646" s="96"/>
    </row>
    <row r="647" customFormat="false" ht="22.5" hidden="false" customHeight="true" outlineLevel="0" collapsed="false">
      <c r="A647" s="94"/>
      <c r="B647" s="95"/>
      <c r="C647" s="84"/>
      <c r="D647" s="76"/>
      <c r="E647" s="77"/>
      <c r="F647" s="77"/>
      <c r="G647" s="78"/>
      <c r="H647" s="76" t="str">
        <f aca="true">IF(G647="","",IF(G647=1,"Completed",
IF(G647=0,"Not Started",
IF(AND(F647&lt;&gt;"",ISNUMBER(F647),F647&lt;TODAY()),"Delayed","In Progress")
)
)
)</f>
        <v/>
      </c>
      <c r="I647" s="76"/>
      <c r="J647" s="76"/>
      <c r="K647" s="76"/>
      <c r="L647" s="76"/>
      <c r="M647" s="80"/>
      <c r="N647" s="96"/>
    </row>
    <row r="648" customFormat="false" ht="22.5" hidden="false" customHeight="true" outlineLevel="0" collapsed="false">
      <c r="A648" s="94"/>
      <c r="B648" s="95"/>
      <c r="C648" s="84"/>
      <c r="D648" s="76"/>
      <c r="E648" s="77"/>
      <c r="F648" s="77"/>
      <c r="G648" s="78"/>
      <c r="H648" s="76" t="str">
        <f aca="true">IF(G648="","",IF(G648=1,"Completed",
IF(G648=0,"Not Started",
IF(AND(F648&lt;&gt;"",ISNUMBER(F648),F648&lt;TODAY()),"Delayed","In Progress")
)
)
)</f>
        <v/>
      </c>
      <c r="I648" s="76"/>
      <c r="J648" s="76"/>
      <c r="K648" s="76"/>
      <c r="L648" s="76"/>
      <c r="M648" s="80"/>
      <c r="N648" s="96"/>
    </row>
    <row r="649" customFormat="false" ht="22.5" hidden="false" customHeight="true" outlineLevel="0" collapsed="false">
      <c r="A649" s="94"/>
      <c r="B649" s="95"/>
      <c r="C649" s="84"/>
      <c r="D649" s="76"/>
      <c r="E649" s="77"/>
      <c r="F649" s="77"/>
      <c r="G649" s="78"/>
      <c r="H649" s="76" t="str">
        <f aca="true">IF(G649="","",IF(G649=1,"Completed",
IF(G649=0,"Not Started",
IF(AND(F649&lt;&gt;"",ISNUMBER(F649),F649&lt;TODAY()),"Delayed","In Progress")
)
)
)</f>
        <v/>
      </c>
      <c r="I649" s="76"/>
      <c r="J649" s="76"/>
      <c r="K649" s="76"/>
      <c r="L649" s="76"/>
      <c r="M649" s="80"/>
      <c r="N649" s="96"/>
    </row>
    <row r="650" customFormat="false" ht="22.5" hidden="false" customHeight="true" outlineLevel="0" collapsed="false">
      <c r="A650" s="94"/>
      <c r="B650" s="95"/>
      <c r="C650" s="84"/>
      <c r="D650" s="76"/>
      <c r="E650" s="77"/>
      <c r="F650" s="77"/>
      <c r="G650" s="78"/>
      <c r="H650" s="76" t="str">
        <f aca="true">IF(G650="","",IF(G650=1,"Completed",
IF(G650=0,"Not Started",
IF(AND(F650&lt;&gt;"",ISNUMBER(F650),F650&lt;TODAY()),"Delayed","In Progress")
)
)
)</f>
        <v/>
      </c>
      <c r="I650" s="76"/>
      <c r="J650" s="76"/>
      <c r="K650" s="76"/>
      <c r="L650" s="76"/>
      <c r="M650" s="80"/>
      <c r="N650" s="96"/>
    </row>
    <row r="651" customFormat="false" ht="22.5" hidden="false" customHeight="true" outlineLevel="0" collapsed="false">
      <c r="A651" s="94"/>
      <c r="B651" s="95"/>
      <c r="C651" s="84"/>
      <c r="D651" s="76"/>
      <c r="E651" s="77"/>
      <c r="F651" s="77"/>
      <c r="G651" s="78"/>
      <c r="H651" s="76" t="str">
        <f aca="true">IF(G651="","",IF(G651=1,"Completed",
IF(G651=0,"Not Started",
IF(AND(F651&lt;&gt;"",ISNUMBER(F651),F651&lt;TODAY()),"Delayed","In Progress")
)
)
)</f>
        <v/>
      </c>
      <c r="I651" s="76"/>
      <c r="J651" s="76"/>
      <c r="K651" s="76"/>
      <c r="L651" s="76"/>
      <c r="M651" s="80"/>
      <c r="N651" s="96"/>
    </row>
    <row r="652" customFormat="false" ht="22.5" hidden="false" customHeight="true" outlineLevel="0" collapsed="false">
      <c r="A652" s="94"/>
      <c r="B652" s="95"/>
      <c r="C652" s="84"/>
      <c r="D652" s="76"/>
      <c r="E652" s="77"/>
      <c r="F652" s="77"/>
      <c r="G652" s="78"/>
      <c r="H652" s="76" t="str">
        <f aca="true">IF(G652="","",IF(G652=1,"Completed",
IF(G652=0,"Not Started",
IF(AND(F652&lt;&gt;"",ISNUMBER(F652),F652&lt;TODAY()),"Delayed","In Progress")
)
)
)</f>
        <v/>
      </c>
      <c r="I652" s="76"/>
      <c r="J652" s="76"/>
      <c r="K652" s="76"/>
      <c r="L652" s="76"/>
      <c r="M652" s="80"/>
      <c r="N652" s="96"/>
    </row>
    <row r="653" customFormat="false" ht="22.5" hidden="false" customHeight="true" outlineLevel="0" collapsed="false">
      <c r="A653" s="94"/>
      <c r="B653" s="95"/>
      <c r="C653" s="84"/>
      <c r="D653" s="76"/>
      <c r="E653" s="77"/>
      <c r="F653" s="77"/>
      <c r="G653" s="78"/>
      <c r="H653" s="76" t="str">
        <f aca="true">IF(G653="","",IF(G653=1,"Completed",
IF(G653=0,"Not Started",
IF(AND(F653&lt;&gt;"",ISNUMBER(F653),F653&lt;TODAY()),"Delayed","In Progress")
)
)
)</f>
        <v/>
      </c>
      <c r="I653" s="76"/>
      <c r="J653" s="76"/>
      <c r="K653" s="76"/>
      <c r="L653" s="76"/>
      <c r="M653" s="80"/>
      <c r="N653" s="96"/>
    </row>
    <row r="654" customFormat="false" ht="22.5" hidden="false" customHeight="true" outlineLevel="0" collapsed="false">
      <c r="A654" s="94"/>
      <c r="B654" s="95"/>
      <c r="C654" s="84"/>
      <c r="D654" s="76"/>
      <c r="E654" s="77"/>
      <c r="F654" s="77"/>
      <c r="G654" s="78"/>
      <c r="H654" s="76" t="str">
        <f aca="true">IF(G654="","",IF(G654=1,"Completed",
IF(G654=0,"Not Started",
IF(AND(F654&lt;&gt;"",ISNUMBER(F654),F654&lt;TODAY()),"Delayed","In Progress")
)
)
)</f>
        <v/>
      </c>
      <c r="I654" s="76"/>
      <c r="J654" s="76"/>
      <c r="K654" s="76"/>
      <c r="L654" s="76"/>
      <c r="M654" s="80"/>
      <c r="N654" s="96"/>
    </row>
    <row r="655" customFormat="false" ht="22.5" hidden="false" customHeight="true" outlineLevel="0" collapsed="false">
      <c r="A655" s="94"/>
      <c r="B655" s="95"/>
      <c r="C655" s="84"/>
      <c r="D655" s="76"/>
      <c r="E655" s="77"/>
      <c r="F655" s="77"/>
      <c r="G655" s="78"/>
      <c r="H655" s="76" t="str">
        <f aca="true">IF(G655="","",IF(G655=1,"Completed",
IF(G655=0,"Not Started",
IF(AND(F655&lt;&gt;"",ISNUMBER(F655),F655&lt;TODAY()),"Delayed","In Progress")
)
)
)</f>
        <v/>
      </c>
      <c r="I655" s="76"/>
      <c r="J655" s="76"/>
      <c r="K655" s="76"/>
      <c r="L655" s="76"/>
      <c r="M655" s="80"/>
      <c r="N655" s="96"/>
    </row>
    <row r="656" customFormat="false" ht="22.5" hidden="false" customHeight="true" outlineLevel="0" collapsed="false">
      <c r="A656" s="94"/>
      <c r="B656" s="95"/>
      <c r="C656" s="84"/>
      <c r="D656" s="76"/>
      <c r="E656" s="77"/>
      <c r="F656" s="77"/>
      <c r="G656" s="78"/>
      <c r="H656" s="76" t="str">
        <f aca="true">IF(G656="","",IF(G656=1,"Completed",
IF(G656=0,"Not Started",
IF(AND(F656&lt;&gt;"",ISNUMBER(F656),F656&lt;TODAY()),"Delayed","In Progress")
)
)
)</f>
        <v/>
      </c>
      <c r="I656" s="76"/>
      <c r="J656" s="76"/>
      <c r="K656" s="76"/>
      <c r="L656" s="76"/>
      <c r="M656" s="80"/>
      <c r="N656" s="96"/>
    </row>
    <row r="657" customFormat="false" ht="22.5" hidden="false" customHeight="true" outlineLevel="0" collapsed="false">
      <c r="A657" s="94"/>
      <c r="B657" s="95"/>
      <c r="C657" s="84"/>
      <c r="D657" s="76"/>
      <c r="E657" s="77"/>
      <c r="F657" s="77"/>
      <c r="G657" s="78"/>
      <c r="H657" s="76" t="str">
        <f aca="true">IF(G657="","",IF(G657=1,"Completed",
IF(G657=0,"Not Started",
IF(AND(F657&lt;&gt;"",ISNUMBER(F657),F657&lt;TODAY()),"Delayed","In Progress")
)
)
)</f>
        <v/>
      </c>
      <c r="I657" s="76"/>
      <c r="J657" s="76"/>
      <c r="K657" s="76"/>
      <c r="L657" s="76"/>
      <c r="M657" s="80"/>
      <c r="N657" s="96"/>
    </row>
    <row r="658" customFormat="false" ht="22.5" hidden="false" customHeight="true" outlineLevel="0" collapsed="false">
      <c r="A658" s="94"/>
      <c r="B658" s="95"/>
      <c r="C658" s="84"/>
      <c r="D658" s="76"/>
      <c r="E658" s="77"/>
      <c r="F658" s="77"/>
      <c r="G658" s="78"/>
      <c r="H658" s="76" t="str">
        <f aca="true">IF(G658="","",IF(G658=1,"Completed",
IF(G658=0,"Not Started",
IF(AND(F658&lt;&gt;"",ISNUMBER(F658),F658&lt;TODAY()),"Delayed","In Progress")
)
)
)</f>
        <v/>
      </c>
      <c r="I658" s="76"/>
      <c r="J658" s="76"/>
      <c r="K658" s="76"/>
      <c r="L658" s="76"/>
      <c r="M658" s="80"/>
      <c r="N658" s="96"/>
    </row>
    <row r="659" customFormat="false" ht="22.5" hidden="false" customHeight="true" outlineLevel="0" collapsed="false">
      <c r="A659" s="94"/>
      <c r="B659" s="95"/>
      <c r="C659" s="84"/>
      <c r="D659" s="76"/>
      <c r="E659" s="77"/>
      <c r="F659" s="77"/>
      <c r="G659" s="78"/>
      <c r="H659" s="76" t="str">
        <f aca="true">IF(G659="","",IF(G659=1,"Completed",
IF(G659=0,"Not Started",
IF(AND(F659&lt;&gt;"",ISNUMBER(F659),F659&lt;TODAY()),"Delayed","In Progress")
)
)
)</f>
        <v/>
      </c>
      <c r="I659" s="76"/>
      <c r="J659" s="76"/>
      <c r="K659" s="76"/>
      <c r="L659" s="76"/>
      <c r="M659" s="80"/>
      <c r="N659" s="96"/>
    </row>
    <row r="660" customFormat="false" ht="22.5" hidden="false" customHeight="true" outlineLevel="0" collapsed="false">
      <c r="A660" s="94"/>
      <c r="B660" s="95"/>
      <c r="C660" s="84"/>
      <c r="D660" s="76"/>
      <c r="E660" s="77"/>
      <c r="F660" s="77"/>
      <c r="G660" s="78"/>
      <c r="H660" s="76" t="str">
        <f aca="true">IF(G660="","",IF(G660=1,"Completed",
IF(G660=0,"Not Started",
IF(AND(F660&lt;&gt;"",ISNUMBER(F660),F660&lt;TODAY()),"Delayed","In Progress")
)
)
)</f>
        <v/>
      </c>
      <c r="I660" s="76"/>
      <c r="J660" s="76"/>
      <c r="K660" s="76"/>
      <c r="L660" s="76"/>
      <c r="M660" s="80"/>
      <c r="N660" s="96"/>
    </row>
    <row r="661" customFormat="false" ht="22.5" hidden="false" customHeight="true" outlineLevel="0" collapsed="false">
      <c r="A661" s="94"/>
      <c r="B661" s="95"/>
      <c r="C661" s="84"/>
      <c r="D661" s="76"/>
      <c r="E661" s="77"/>
      <c r="F661" s="77"/>
      <c r="G661" s="78"/>
      <c r="H661" s="76" t="str">
        <f aca="true">IF(G661="","",IF(G661=1,"Completed",
IF(G661=0,"Not Started",
IF(AND(F661&lt;&gt;"",ISNUMBER(F661),F661&lt;TODAY()),"Delayed","In Progress")
)
)
)</f>
        <v/>
      </c>
      <c r="I661" s="76"/>
      <c r="J661" s="76"/>
      <c r="K661" s="76"/>
      <c r="L661" s="76"/>
      <c r="M661" s="80"/>
      <c r="N661" s="96"/>
    </row>
    <row r="662" customFormat="false" ht="22.5" hidden="false" customHeight="true" outlineLevel="0" collapsed="false">
      <c r="A662" s="94"/>
      <c r="B662" s="95"/>
      <c r="C662" s="84"/>
      <c r="D662" s="76"/>
      <c r="E662" s="77"/>
      <c r="F662" s="77"/>
      <c r="G662" s="78"/>
      <c r="H662" s="76" t="str">
        <f aca="true">IF(G662="","",IF(G662=1,"Completed",
IF(G662=0,"Not Started",
IF(AND(F662&lt;&gt;"",ISNUMBER(F662),F662&lt;TODAY()),"Delayed","In Progress")
)
)
)</f>
        <v/>
      </c>
      <c r="I662" s="76"/>
      <c r="J662" s="76"/>
      <c r="K662" s="76"/>
      <c r="L662" s="76"/>
      <c r="M662" s="80"/>
      <c r="N662" s="96"/>
    </row>
    <row r="663" customFormat="false" ht="22.5" hidden="false" customHeight="true" outlineLevel="0" collapsed="false">
      <c r="A663" s="94"/>
      <c r="B663" s="95"/>
      <c r="C663" s="84"/>
      <c r="D663" s="76"/>
      <c r="E663" s="77"/>
      <c r="F663" s="77"/>
      <c r="G663" s="78"/>
      <c r="H663" s="76" t="str">
        <f aca="true">IF(G663="","",IF(G663=1,"Completed",
IF(G663=0,"Not Started",
IF(AND(F663&lt;&gt;"",ISNUMBER(F663),F663&lt;TODAY()),"Delayed","In Progress")
)
)
)</f>
        <v/>
      </c>
      <c r="I663" s="76"/>
      <c r="J663" s="76"/>
      <c r="K663" s="76"/>
      <c r="L663" s="76"/>
      <c r="M663" s="80"/>
      <c r="N663" s="96"/>
    </row>
    <row r="664" customFormat="false" ht="22.5" hidden="false" customHeight="true" outlineLevel="0" collapsed="false">
      <c r="A664" s="94"/>
      <c r="B664" s="95"/>
      <c r="C664" s="84"/>
      <c r="D664" s="76"/>
      <c r="E664" s="77"/>
      <c r="F664" s="77"/>
      <c r="G664" s="78"/>
      <c r="H664" s="76" t="str">
        <f aca="true">IF(G664="","",IF(G664=1,"Completed",
IF(G664=0,"Not Started",
IF(AND(F664&lt;&gt;"",ISNUMBER(F664),F664&lt;TODAY()),"Delayed","In Progress")
)
)
)</f>
        <v/>
      </c>
      <c r="I664" s="76"/>
      <c r="J664" s="76"/>
      <c r="K664" s="76"/>
      <c r="L664" s="76"/>
      <c r="M664" s="80"/>
      <c r="N664" s="96"/>
    </row>
    <row r="665" customFormat="false" ht="22.5" hidden="false" customHeight="true" outlineLevel="0" collapsed="false">
      <c r="A665" s="94"/>
      <c r="B665" s="95"/>
      <c r="C665" s="84"/>
      <c r="D665" s="76"/>
      <c r="E665" s="77"/>
      <c r="F665" s="77"/>
      <c r="G665" s="78"/>
      <c r="H665" s="76" t="str">
        <f aca="true">IF(G665="","",IF(G665=1,"Completed",
IF(G665=0,"Not Started",
IF(AND(F665&lt;&gt;"",ISNUMBER(F665),F665&lt;TODAY()),"Delayed","In Progress")
)
)
)</f>
        <v/>
      </c>
      <c r="I665" s="76"/>
      <c r="J665" s="76"/>
      <c r="K665" s="76"/>
      <c r="L665" s="76"/>
      <c r="M665" s="80"/>
      <c r="N665" s="96"/>
    </row>
    <row r="666" customFormat="false" ht="22.5" hidden="false" customHeight="true" outlineLevel="0" collapsed="false">
      <c r="A666" s="94"/>
      <c r="B666" s="95"/>
      <c r="C666" s="84"/>
      <c r="D666" s="76"/>
      <c r="E666" s="77"/>
      <c r="F666" s="77"/>
      <c r="G666" s="78"/>
      <c r="H666" s="76" t="str">
        <f aca="true">IF(G666="","",IF(G666=1,"Completed",
IF(G666=0,"Not Started",
IF(AND(F666&lt;&gt;"",ISNUMBER(F666),F666&lt;TODAY()),"Delayed","In Progress")
)
)
)</f>
        <v/>
      </c>
      <c r="I666" s="76"/>
      <c r="J666" s="76"/>
      <c r="K666" s="76"/>
      <c r="L666" s="76"/>
      <c r="M666" s="80"/>
      <c r="N666" s="96"/>
    </row>
    <row r="667" customFormat="false" ht="22.5" hidden="false" customHeight="true" outlineLevel="0" collapsed="false">
      <c r="A667" s="94"/>
      <c r="B667" s="95"/>
      <c r="C667" s="84"/>
      <c r="D667" s="76"/>
      <c r="E667" s="77"/>
      <c r="F667" s="77"/>
      <c r="G667" s="78"/>
      <c r="H667" s="76" t="str">
        <f aca="true">IF(G667="","",IF(G667=1,"Completed",
IF(G667=0,"Not Started",
IF(AND(F667&lt;&gt;"",ISNUMBER(F667),F667&lt;TODAY()),"Delayed","In Progress")
)
)
)</f>
        <v/>
      </c>
      <c r="I667" s="76"/>
      <c r="J667" s="76"/>
      <c r="K667" s="76"/>
      <c r="L667" s="76"/>
      <c r="M667" s="80"/>
      <c r="N667" s="96"/>
    </row>
    <row r="668" customFormat="false" ht="22.5" hidden="false" customHeight="true" outlineLevel="0" collapsed="false">
      <c r="A668" s="94"/>
      <c r="B668" s="95"/>
      <c r="C668" s="84"/>
      <c r="D668" s="76"/>
      <c r="E668" s="77"/>
      <c r="F668" s="77"/>
      <c r="G668" s="78"/>
      <c r="H668" s="76" t="str">
        <f aca="true">IF(G668="","",IF(G668=1,"Completed",
IF(G668=0,"Not Started",
IF(AND(F668&lt;&gt;"",ISNUMBER(F668),F668&lt;TODAY()),"Delayed","In Progress")
)
)
)</f>
        <v/>
      </c>
      <c r="I668" s="76"/>
      <c r="J668" s="76"/>
      <c r="K668" s="76"/>
      <c r="L668" s="76"/>
      <c r="M668" s="80"/>
      <c r="N668" s="96"/>
    </row>
    <row r="669" customFormat="false" ht="22.5" hidden="false" customHeight="true" outlineLevel="0" collapsed="false">
      <c r="A669" s="94"/>
      <c r="B669" s="95"/>
      <c r="C669" s="84"/>
      <c r="D669" s="76"/>
      <c r="E669" s="77"/>
      <c r="F669" s="77"/>
      <c r="G669" s="78"/>
      <c r="H669" s="76" t="str">
        <f aca="true">IF(G669="","",IF(G669=1,"Completed",
IF(G669=0,"Not Started",
IF(AND(F669&lt;&gt;"",ISNUMBER(F669),F669&lt;TODAY()),"Delayed","In Progress")
)
)
)</f>
        <v/>
      </c>
      <c r="I669" s="76"/>
      <c r="J669" s="76"/>
      <c r="K669" s="76"/>
      <c r="L669" s="76"/>
      <c r="M669" s="80"/>
      <c r="N669" s="96"/>
    </row>
    <row r="670" customFormat="false" ht="22.5" hidden="false" customHeight="true" outlineLevel="0" collapsed="false">
      <c r="A670" s="94"/>
      <c r="B670" s="95"/>
      <c r="C670" s="84"/>
      <c r="D670" s="76"/>
      <c r="E670" s="77"/>
      <c r="F670" s="77"/>
      <c r="G670" s="78"/>
      <c r="H670" s="76" t="str">
        <f aca="true">IF(G670="","",IF(G670=1,"Completed",
IF(G670=0,"Not Started",
IF(AND(F670&lt;&gt;"",ISNUMBER(F670),F670&lt;TODAY()),"Delayed","In Progress")
)
)
)</f>
        <v/>
      </c>
      <c r="I670" s="76"/>
      <c r="J670" s="76"/>
      <c r="K670" s="76"/>
      <c r="L670" s="76"/>
      <c r="M670" s="80"/>
      <c r="N670" s="96"/>
    </row>
    <row r="671" customFormat="false" ht="22.5" hidden="false" customHeight="true" outlineLevel="0" collapsed="false">
      <c r="A671" s="94"/>
      <c r="B671" s="95"/>
      <c r="C671" s="84"/>
      <c r="D671" s="76"/>
      <c r="E671" s="77"/>
      <c r="F671" s="77"/>
      <c r="G671" s="78"/>
      <c r="H671" s="76" t="str">
        <f aca="true">IF(G671="","",IF(G671=1,"Completed",
IF(G671=0,"Not Started",
IF(AND(F671&lt;&gt;"",ISNUMBER(F671),F671&lt;TODAY()),"Delayed","In Progress")
)
)
)</f>
        <v/>
      </c>
      <c r="I671" s="76"/>
      <c r="J671" s="76"/>
      <c r="K671" s="76"/>
      <c r="L671" s="76"/>
      <c r="M671" s="80"/>
      <c r="N671" s="96"/>
    </row>
    <row r="672" customFormat="false" ht="22.5" hidden="false" customHeight="true" outlineLevel="0" collapsed="false">
      <c r="A672" s="94"/>
      <c r="B672" s="95"/>
      <c r="C672" s="84"/>
      <c r="D672" s="76"/>
      <c r="E672" s="77"/>
      <c r="F672" s="77"/>
      <c r="G672" s="78"/>
      <c r="H672" s="76" t="str">
        <f aca="true">IF(G672="","",IF(G672=1,"Completed",
IF(G672=0,"Not Started",
IF(AND(F672&lt;&gt;"",ISNUMBER(F672),F672&lt;TODAY()),"Delayed","In Progress")
)
)
)</f>
        <v/>
      </c>
      <c r="I672" s="76"/>
      <c r="J672" s="76"/>
      <c r="K672" s="76"/>
      <c r="L672" s="76"/>
      <c r="M672" s="80"/>
      <c r="N672" s="96"/>
    </row>
    <row r="673" customFormat="false" ht="22.5" hidden="false" customHeight="true" outlineLevel="0" collapsed="false">
      <c r="A673" s="94"/>
      <c r="B673" s="95"/>
      <c r="C673" s="84"/>
      <c r="D673" s="76"/>
      <c r="E673" s="77"/>
      <c r="F673" s="77"/>
      <c r="G673" s="78"/>
      <c r="H673" s="76" t="str">
        <f aca="true">IF(G673="","",IF(G673=1,"Completed",
IF(G673=0,"Not Started",
IF(AND(F673&lt;&gt;"",ISNUMBER(F673),F673&lt;TODAY()),"Delayed","In Progress")
)
)
)</f>
        <v/>
      </c>
      <c r="I673" s="76"/>
      <c r="J673" s="76"/>
      <c r="K673" s="76"/>
      <c r="L673" s="76"/>
      <c r="M673" s="80"/>
      <c r="N673" s="96"/>
    </row>
    <row r="674" customFormat="false" ht="22.5" hidden="false" customHeight="true" outlineLevel="0" collapsed="false">
      <c r="A674" s="94"/>
      <c r="B674" s="95"/>
      <c r="C674" s="84"/>
      <c r="D674" s="76"/>
      <c r="E674" s="77"/>
      <c r="F674" s="77"/>
      <c r="G674" s="78"/>
      <c r="H674" s="76" t="str">
        <f aca="true">IF(G674="","",IF(G674=1,"Completed",
IF(G674=0,"Not Started",
IF(AND(F674&lt;&gt;"",ISNUMBER(F674),F674&lt;TODAY()),"Delayed","In Progress")
)
)
)</f>
        <v/>
      </c>
      <c r="I674" s="76"/>
      <c r="J674" s="76"/>
      <c r="K674" s="76"/>
      <c r="L674" s="76"/>
      <c r="M674" s="80"/>
      <c r="N674" s="96"/>
    </row>
    <row r="675" customFormat="false" ht="22.5" hidden="false" customHeight="true" outlineLevel="0" collapsed="false">
      <c r="A675" s="94"/>
      <c r="B675" s="95"/>
      <c r="C675" s="84"/>
      <c r="D675" s="76"/>
      <c r="E675" s="77"/>
      <c r="F675" s="77"/>
      <c r="G675" s="78"/>
      <c r="H675" s="76" t="str">
        <f aca="true">IF(G675="","",IF(G675=1,"Completed",
IF(G675=0,"Not Started",
IF(AND(F675&lt;&gt;"",ISNUMBER(F675),F675&lt;TODAY()),"Delayed","In Progress")
)
)
)</f>
        <v/>
      </c>
      <c r="I675" s="76"/>
      <c r="J675" s="76"/>
      <c r="K675" s="76"/>
      <c r="L675" s="76"/>
      <c r="M675" s="80"/>
      <c r="N675" s="96"/>
    </row>
    <row r="676" customFormat="false" ht="22.5" hidden="false" customHeight="true" outlineLevel="0" collapsed="false">
      <c r="A676" s="94"/>
      <c r="B676" s="95"/>
      <c r="C676" s="84"/>
      <c r="D676" s="76"/>
      <c r="E676" s="77"/>
      <c r="F676" s="77"/>
      <c r="G676" s="78"/>
      <c r="H676" s="76" t="str">
        <f aca="true">IF(G676="","",IF(G676=1,"Completed",
IF(G676=0,"Not Started",
IF(AND(F676&lt;&gt;"",ISNUMBER(F676),F676&lt;TODAY()),"Delayed","In Progress")
)
)
)</f>
        <v/>
      </c>
      <c r="I676" s="76"/>
      <c r="J676" s="76"/>
      <c r="K676" s="76"/>
      <c r="L676" s="76"/>
      <c r="M676" s="80"/>
      <c r="N676" s="96"/>
    </row>
    <row r="677" customFormat="false" ht="22.5" hidden="false" customHeight="true" outlineLevel="0" collapsed="false">
      <c r="A677" s="94"/>
      <c r="B677" s="95"/>
      <c r="C677" s="84"/>
      <c r="D677" s="76"/>
      <c r="E677" s="77"/>
      <c r="F677" s="77"/>
      <c r="G677" s="78"/>
      <c r="H677" s="76" t="str">
        <f aca="true">IF(G677="","",IF(G677=1,"Completed",
IF(G677=0,"Not Started",
IF(AND(F677&lt;&gt;"",ISNUMBER(F677),F677&lt;TODAY()),"Delayed","In Progress")
)
)
)</f>
        <v/>
      </c>
      <c r="I677" s="76"/>
      <c r="J677" s="76"/>
      <c r="K677" s="76"/>
      <c r="L677" s="76"/>
      <c r="M677" s="80"/>
      <c r="N677" s="96"/>
    </row>
    <row r="678" customFormat="false" ht="22.5" hidden="false" customHeight="true" outlineLevel="0" collapsed="false">
      <c r="A678" s="94"/>
      <c r="B678" s="95"/>
      <c r="C678" s="84"/>
      <c r="D678" s="76"/>
      <c r="E678" s="77"/>
      <c r="F678" s="77"/>
      <c r="G678" s="78"/>
      <c r="H678" s="76" t="str">
        <f aca="true">IF(G678="","",IF(G678=1,"Completed",
IF(G678=0,"Not Started",
IF(AND(F678&lt;&gt;"",ISNUMBER(F678),F678&lt;TODAY()),"Delayed","In Progress")
)
)
)</f>
        <v/>
      </c>
      <c r="I678" s="76"/>
      <c r="J678" s="76"/>
      <c r="K678" s="76"/>
      <c r="L678" s="76"/>
      <c r="M678" s="80"/>
      <c r="N678" s="96"/>
    </row>
    <row r="679" customFormat="false" ht="22.5" hidden="false" customHeight="true" outlineLevel="0" collapsed="false">
      <c r="A679" s="94"/>
      <c r="B679" s="95"/>
      <c r="C679" s="84"/>
      <c r="D679" s="76"/>
      <c r="E679" s="77"/>
      <c r="F679" s="77"/>
      <c r="G679" s="78"/>
      <c r="H679" s="76" t="str">
        <f aca="true">IF(G679="","",IF(G679=1,"Completed",
IF(G679=0,"Not Started",
IF(AND(F679&lt;&gt;"",ISNUMBER(F679),F679&lt;TODAY()),"Delayed","In Progress")
)
)
)</f>
        <v/>
      </c>
      <c r="I679" s="76"/>
      <c r="J679" s="76"/>
      <c r="K679" s="76"/>
      <c r="L679" s="76"/>
      <c r="M679" s="80"/>
      <c r="N679" s="96"/>
    </row>
    <row r="680" customFormat="false" ht="22.5" hidden="false" customHeight="true" outlineLevel="0" collapsed="false">
      <c r="A680" s="94"/>
      <c r="B680" s="95"/>
      <c r="C680" s="84"/>
      <c r="D680" s="76"/>
      <c r="E680" s="77"/>
      <c r="F680" s="77"/>
      <c r="G680" s="78"/>
      <c r="H680" s="76" t="str">
        <f aca="true">IF(G680="","",IF(G680=1,"Completed",
IF(G680=0,"Not Started",
IF(AND(F680&lt;&gt;"",ISNUMBER(F680),F680&lt;TODAY()),"Delayed","In Progress")
)
)
)</f>
        <v/>
      </c>
      <c r="I680" s="76"/>
      <c r="J680" s="76"/>
      <c r="K680" s="76"/>
      <c r="L680" s="76"/>
      <c r="M680" s="80"/>
      <c r="N680" s="96"/>
    </row>
    <row r="681" customFormat="false" ht="22.5" hidden="false" customHeight="true" outlineLevel="0" collapsed="false">
      <c r="A681" s="94"/>
      <c r="B681" s="95"/>
      <c r="C681" s="84"/>
      <c r="D681" s="76"/>
      <c r="E681" s="77"/>
      <c r="F681" s="77"/>
      <c r="G681" s="78"/>
      <c r="H681" s="76" t="str">
        <f aca="true">IF(G681="","",IF(G681=1,"Completed",
IF(G681=0,"Not Started",
IF(AND(F681&lt;&gt;"",ISNUMBER(F681),F681&lt;TODAY()),"Delayed","In Progress")
)
)
)</f>
        <v/>
      </c>
      <c r="I681" s="76"/>
      <c r="J681" s="76"/>
      <c r="K681" s="76"/>
      <c r="L681" s="76"/>
      <c r="M681" s="80"/>
      <c r="N681" s="96"/>
    </row>
    <row r="682" customFormat="false" ht="22.5" hidden="false" customHeight="true" outlineLevel="0" collapsed="false">
      <c r="A682" s="94"/>
      <c r="B682" s="95"/>
      <c r="C682" s="84"/>
      <c r="D682" s="76"/>
      <c r="E682" s="77"/>
      <c r="F682" s="77"/>
      <c r="G682" s="78"/>
      <c r="H682" s="76" t="str">
        <f aca="true">IF(G682="","",IF(G682=1,"Completed",
IF(G682=0,"Not Started",
IF(AND(F682&lt;&gt;"",ISNUMBER(F682),F682&lt;TODAY()),"Delayed","In Progress")
)
)
)</f>
        <v/>
      </c>
      <c r="I682" s="76"/>
      <c r="J682" s="76"/>
      <c r="K682" s="76"/>
      <c r="L682" s="76"/>
      <c r="M682" s="80"/>
      <c r="N682" s="96"/>
    </row>
    <row r="683" customFormat="false" ht="22.5" hidden="false" customHeight="true" outlineLevel="0" collapsed="false">
      <c r="A683" s="94"/>
      <c r="B683" s="95"/>
      <c r="C683" s="84"/>
      <c r="D683" s="76"/>
      <c r="E683" s="77"/>
      <c r="F683" s="77"/>
      <c r="G683" s="78"/>
      <c r="H683" s="76" t="str">
        <f aca="true">IF(G683="","",IF(G683=1,"Completed",
IF(G683=0,"Not Started",
IF(AND(F683&lt;&gt;"",ISNUMBER(F683),F683&lt;TODAY()),"Delayed","In Progress")
)
)
)</f>
        <v/>
      </c>
      <c r="I683" s="76"/>
      <c r="J683" s="76"/>
      <c r="K683" s="76"/>
      <c r="L683" s="76"/>
      <c r="M683" s="80"/>
      <c r="N683" s="96"/>
    </row>
    <row r="684" customFormat="false" ht="22.5" hidden="false" customHeight="true" outlineLevel="0" collapsed="false">
      <c r="A684" s="94"/>
      <c r="B684" s="95"/>
      <c r="C684" s="84"/>
      <c r="D684" s="76"/>
      <c r="E684" s="77"/>
      <c r="F684" s="77"/>
      <c r="G684" s="78"/>
      <c r="H684" s="76" t="str">
        <f aca="true">IF(G684="","",IF(G684=1,"Completed",
IF(G684=0,"Not Started",
IF(AND(F684&lt;&gt;"",ISNUMBER(F684),F684&lt;TODAY()),"Delayed","In Progress")
)
)
)</f>
        <v/>
      </c>
      <c r="I684" s="76"/>
      <c r="J684" s="76"/>
      <c r="K684" s="76"/>
      <c r="L684" s="76"/>
      <c r="M684" s="80"/>
      <c r="N684" s="96"/>
    </row>
    <row r="685" customFormat="false" ht="22.5" hidden="false" customHeight="true" outlineLevel="0" collapsed="false">
      <c r="A685" s="94"/>
      <c r="B685" s="95"/>
      <c r="C685" s="84"/>
      <c r="D685" s="76"/>
      <c r="E685" s="77"/>
      <c r="F685" s="77"/>
      <c r="G685" s="78"/>
      <c r="H685" s="76" t="str">
        <f aca="true">IF(G685="","",IF(G685=1,"Completed",
IF(G685=0,"Not Started",
IF(AND(F685&lt;&gt;"",ISNUMBER(F685),F685&lt;TODAY()),"Delayed","In Progress")
)
)
)</f>
        <v/>
      </c>
      <c r="I685" s="76"/>
      <c r="J685" s="76"/>
      <c r="K685" s="76"/>
      <c r="L685" s="76"/>
      <c r="M685" s="80"/>
      <c r="N685" s="96"/>
    </row>
    <row r="686" customFormat="false" ht="22.5" hidden="false" customHeight="true" outlineLevel="0" collapsed="false">
      <c r="A686" s="94"/>
      <c r="B686" s="95"/>
      <c r="C686" s="84"/>
      <c r="D686" s="76"/>
      <c r="E686" s="77"/>
      <c r="F686" s="77"/>
      <c r="G686" s="78"/>
      <c r="H686" s="76" t="str">
        <f aca="true">IF(G686="","",IF(G686=1,"Completed",
IF(G686=0,"Not Started",
IF(AND(F686&lt;&gt;"",ISNUMBER(F686),F686&lt;TODAY()),"Delayed","In Progress")
)
)
)</f>
        <v/>
      </c>
      <c r="I686" s="76"/>
      <c r="J686" s="76"/>
      <c r="K686" s="76"/>
      <c r="L686" s="76"/>
      <c r="M686" s="80"/>
      <c r="N686" s="96"/>
    </row>
    <row r="687" customFormat="false" ht="22.5" hidden="false" customHeight="true" outlineLevel="0" collapsed="false">
      <c r="A687" s="94"/>
      <c r="B687" s="95"/>
      <c r="C687" s="84"/>
      <c r="D687" s="76"/>
      <c r="E687" s="77"/>
      <c r="F687" s="77"/>
      <c r="G687" s="78"/>
      <c r="H687" s="76" t="str">
        <f aca="true">IF(G687="","",IF(G687=1,"Completed",
IF(G687=0,"Not Started",
IF(AND(F687&lt;&gt;"",ISNUMBER(F687),F687&lt;TODAY()),"Delayed","In Progress")
)
)
)</f>
        <v/>
      </c>
      <c r="I687" s="76"/>
      <c r="J687" s="76"/>
      <c r="K687" s="76"/>
      <c r="L687" s="76"/>
      <c r="M687" s="80"/>
      <c r="N687" s="96"/>
    </row>
    <row r="688" customFormat="false" ht="22.5" hidden="false" customHeight="true" outlineLevel="0" collapsed="false">
      <c r="A688" s="94"/>
      <c r="B688" s="95"/>
      <c r="C688" s="84"/>
      <c r="D688" s="76"/>
      <c r="E688" s="77"/>
      <c r="F688" s="77"/>
      <c r="G688" s="78"/>
      <c r="H688" s="76" t="str">
        <f aca="true">IF(G688="","",IF(G688=1,"Completed",
IF(G688=0,"Not Started",
IF(AND(F688&lt;&gt;"",ISNUMBER(F688),F688&lt;TODAY()),"Delayed","In Progress")
)
)
)</f>
        <v/>
      </c>
      <c r="I688" s="76"/>
      <c r="J688" s="76"/>
      <c r="K688" s="76"/>
      <c r="L688" s="76"/>
      <c r="M688" s="80"/>
      <c r="N688" s="96"/>
    </row>
    <row r="689" customFormat="false" ht="22.5" hidden="false" customHeight="true" outlineLevel="0" collapsed="false">
      <c r="A689" s="94"/>
      <c r="B689" s="95"/>
      <c r="C689" s="84"/>
      <c r="D689" s="76"/>
      <c r="E689" s="77"/>
      <c r="F689" s="77"/>
      <c r="G689" s="78"/>
      <c r="H689" s="76" t="str">
        <f aca="true">IF(G689="","",IF(G689=1,"Completed",
IF(G689=0,"Not Started",
IF(AND(F689&lt;&gt;"",ISNUMBER(F689),F689&lt;TODAY()),"Delayed","In Progress")
)
)
)</f>
        <v/>
      </c>
      <c r="I689" s="76"/>
      <c r="J689" s="76"/>
      <c r="K689" s="76"/>
      <c r="L689" s="76"/>
      <c r="M689" s="80"/>
      <c r="N689" s="96"/>
    </row>
    <row r="690" customFormat="false" ht="22.5" hidden="false" customHeight="true" outlineLevel="0" collapsed="false">
      <c r="A690" s="94"/>
      <c r="B690" s="95"/>
      <c r="C690" s="84"/>
      <c r="D690" s="76"/>
      <c r="E690" s="77"/>
      <c r="F690" s="77"/>
      <c r="G690" s="78"/>
      <c r="H690" s="76" t="str">
        <f aca="true">IF(G690="","",IF(G690=1,"Completed",
IF(G690=0,"Not Started",
IF(AND(F690&lt;&gt;"",ISNUMBER(F690),F690&lt;TODAY()),"Delayed","In Progress")
)
)
)</f>
        <v/>
      </c>
      <c r="I690" s="76"/>
      <c r="J690" s="76"/>
      <c r="K690" s="76"/>
      <c r="L690" s="76"/>
      <c r="M690" s="80"/>
      <c r="N690" s="96"/>
    </row>
    <row r="691" customFormat="false" ht="22.5" hidden="false" customHeight="true" outlineLevel="0" collapsed="false">
      <c r="A691" s="94"/>
      <c r="B691" s="95"/>
      <c r="C691" s="84"/>
      <c r="D691" s="76"/>
      <c r="E691" s="77"/>
      <c r="F691" s="77"/>
      <c r="G691" s="78"/>
      <c r="H691" s="76" t="str">
        <f aca="true">IF(G691="","",IF(G691=1,"Completed",
IF(G691=0,"Not Started",
IF(AND(F691&lt;&gt;"",ISNUMBER(F691),F691&lt;TODAY()),"Delayed","In Progress")
)
)
)</f>
        <v/>
      </c>
      <c r="I691" s="76"/>
      <c r="J691" s="76"/>
      <c r="K691" s="76"/>
      <c r="L691" s="76"/>
      <c r="M691" s="80"/>
      <c r="N691" s="96"/>
    </row>
    <row r="692" customFormat="false" ht="22.5" hidden="false" customHeight="true" outlineLevel="0" collapsed="false">
      <c r="A692" s="94"/>
      <c r="B692" s="95"/>
      <c r="C692" s="84"/>
      <c r="D692" s="76"/>
      <c r="E692" s="77"/>
      <c r="F692" s="77"/>
      <c r="G692" s="78"/>
      <c r="H692" s="76" t="str">
        <f aca="true">IF(G692="","",IF(G692=1,"Completed",
IF(G692=0,"Not Started",
IF(AND(F692&lt;&gt;"",ISNUMBER(F692),F692&lt;TODAY()),"Delayed","In Progress")
)
)
)</f>
        <v/>
      </c>
      <c r="I692" s="76"/>
      <c r="J692" s="76"/>
      <c r="K692" s="76"/>
      <c r="L692" s="76"/>
      <c r="M692" s="80"/>
      <c r="N692" s="96"/>
    </row>
    <row r="693" customFormat="false" ht="22.5" hidden="false" customHeight="true" outlineLevel="0" collapsed="false">
      <c r="A693" s="94"/>
      <c r="B693" s="95"/>
      <c r="C693" s="84"/>
      <c r="D693" s="76"/>
      <c r="E693" s="77"/>
      <c r="F693" s="77"/>
      <c r="G693" s="78"/>
      <c r="H693" s="76" t="str">
        <f aca="true">IF(G693="","",IF(G693=1,"Completed",
IF(G693=0,"Not Started",
IF(AND(F693&lt;&gt;"",ISNUMBER(F693),F693&lt;TODAY()),"Delayed","In Progress")
)
)
)</f>
        <v/>
      </c>
      <c r="I693" s="76"/>
      <c r="J693" s="76"/>
      <c r="K693" s="76"/>
      <c r="L693" s="76"/>
      <c r="M693" s="80"/>
      <c r="N693" s="96"/>
    </row>
    <row r="694" customFormat="false" ht="22.5" hidden="false" customHeight="true" outlineLevel="0" collapsed="false">
      <c r="A694" s="94"/>
      <c r="B694" s="95"/>
      <c r="C694" s="84"/>
      <c r="D694" s="76"/>
      <c r="E694" s="77"/>
      <c r="F694" s="77"/>
      <c r="G694" s="78"/>
      <c r="H694" s="76" t="str">
        <f aca="true">IF(G694="","",IF(G694=1,"Completed",
IF(G694=0,"Not Started",
IF(AND(F694&lt;&gt;"",ISNUMBER(F694),F694&lt;TODAY()),"Delayed","In Progress")
)
)
)</f>
        <v/>
      </c>
      <c r="I694" s="76"/>
      <c r="J694" s="76"/>
      <c r="K694" s="76"/>
      <c r="L694" s="76"/>
      <c r="M694" s="80"/>
      <c r="N694" s="96"/>
    </row>
    <row r="695" customFormat="false" ht="22.5" hidden="false" customHeight="true" outlineLevel="0" collapsed="false">
      <c r="A695" s="94"/>
      <c r="B695" s="95"/>
      <c r="C695" s="84"/>
      <c r="D695" s="76"/>
      <c r="E695" s="77"/>
      <c r="F695" s="77"/>
      <c r="G695" s="78"/>
      <c r="H695" s="76" t="str">
        <f aca="true">IF(G695="","",IF(G695=1,"Completed",
IF(G695=0,"Not Started",
IF(AND(F695&lt;&gt;"",ISNUMBER(F695),F695&lt;TODAY()),"Delayed","In Progress")
)
)
)</f>
        <v/>
      </c>
      <c r="I695" s="76"/>
      <c r="J695" s="76"/>
      <c r="K695" s="76"/>
      <c r="L695" s="76"/>
      <c r="M695" s="80"/>
      <c r="N695" s="96"/>
    </row>
    <row r="696" customFormat="false" ht="22.5" hidden="false" customHeight="true" outlineLevel="0" collapsed="false">
      <c r="A696" s="94"/>
      <c r="B696" s="95"/>
      <c r="C696" s="84"/>
      <c r="D696" s="76"/>
      <c r="E696" s="77"/>
      <c r="F696" s="77"/>
      <c r="G696" s="78"/>
      <c r="H696" s="76" t="str">
        <f aca="true">IF(G696="","",IF(G696=1,"Completed",
IF(G696=0,"Not Started",
IF(AND(F696&lt;&gt;"",ISNUMBER(F696),F696&lt;TODAY()),"Delayed","In Progress")
)
)
)</f>
        <v/>
      </c>
      <c r="I696" s="76"/>
      <c r="J696" s="76"/>
      <c r="K696" s="76"/>
      <c r="L696" s="76"/>
      <c r="M696" s="80"/>
      <c r="N696" s="96"/>
    </row>
    <row r="697" customFormat="false" ht="22.5" hidden="false" customHeight="true" outlineLevel="0" collapsed="false">
      <c r="A697" s="94"/>
      <c r="B697" s="95"/>
      <c r="C697" s="84"/>
      <c r="D697" s="76"/>
      <c r="E697" s="77"/>
      <c r="F697" s="77"/>
      <c r="G697" s="78"/>
      <c r="H697" s="76" t="str">
        <f aca="true">IF(G697="","",IF(G697=1,"Completed",
IF(G697=0,"Not Started",
IF(AND(F697&lt;&gt;"",ISNUMBER(F697),F697&lt;TODAY()),"Delayed","In Progress")
)
)
)</f>
        <v/>
      </c>
      <c r="I697" s="76"/>
      <c r="J697" s="76"/>
      <c r="K697" s="76"/>
      <c r="L697" s="76"/>
      <c r="M697" s="80"/>
      <c r="N697" s="96"/>
    </row>
    <row r="698" customFormat="false" ht="22.5" hidden="false" customHeight="true" outlineLevel="0" collapsed="false">
      <c r="A698" s="94"/>
      <c r="B698" s="95"/>
      <c r="C698" s="84"/>
      <c r="D698" s="76"/>
      <c r="E698" s="77"/>
      <c r="F698" s="77"/>
      <c r="G698" s="78"/>
      <c r="H698" s="76" t="str">
        <f aca="true">IF(G698="","",IF(G698=1,"Completed",
IF(G698=0,"Not Started",
IF(AND(F698&lt;&gt;"",ISNUMBER(F698),F698&lt;TODAY()),"Delayed","In Progress")
)
)
)</f>
        <v/>
      </c>
      <c r="I698" s="76"/>
      <c r="J698" s="76"/>
      <c r="K698" s="76"/>
      <c r="L698" s="76"/>
      <c r="M698" s="80"/>
      <c r="N698" s="96"/>
    </row>
    <row r="699" customFormat="false" ht="22.5" hidden="false" customHeight="true" outlineLevel="0" collapsed="false">
      <c r="A699" s="94"/>
      <c r="B699" s="95"/>
      <c r="C699" s="84"/>
      <c r="D699" s="76"/>
      <c r="E699" s="77"/>
      <c r="F699" s="77"/>
      <c r="G699" s="78"/>
      <c r="H699" s="76" t="str">
        <f aca="true">IF(G699="","",IF(G699=1,"Completed",
IF(G699=0,"Not Started",
IF(AND(F699&lt;&gt;"",ISNUMBER(F699),F699&lt;TODAY()),"Delayed","In Progress")
)
)
)</f>
        <v/>
      </c>
      <c r="I699" s="76"/>
      <c r="J699" s="76"/>
      <c r="K699" s="76"/>
      <c r="L699" s="76"/>
      <c r="M699" s="80"/>
      <c r="N699" s="96"/>
    </row>
    <row r="700" customFormat="false" ht="22.5" hidden="false" customHeight="true" outlineLevel="0" collapsed="false">
      <c r="A700" s="94"/>
      <c r="B700" s="95"/>
      <c r="C700" s="84"/>
      <c r="D700" s="76"/>
      <c r="E700" s="77"/>
      <c r="F700" s="77"/>
      <c r="G700" s="78"/>
      <c r="H700" s="76" t="str">
        <f aca="true">IF(G700="","",IF(G700=1,"Completed",
IF(G700=0,"Not Started",
IF(AND(F700&lt;&gt;"",ISNUMBER(F700),F700&lt;TODAY()),"Delayed","In Progress")
)
)
)</f>
        <v/>
      </c>
      <c r="I700" s="76"/>
      <c r="J700" s="76"/>
      <c r="K700" s="76"/>
      <c r="L700" s="76"/>
      <c r="M700" s="80"/>
      <c r="N700" s="96"/>
    </row>
    <row r="701" customFormat="false" ht="22.5" hidden="false" customHeight="true" outlineLevel="0" collapsed="false">
      <c r="A701" s="94"/>
      <c r="B701" s="95"/>
      <c r="C701" s="84"/>
      <c r="D701" s="76"/>
      <c r="E701" s="77"/>
      <c r="F701" s="77"/>
      <c r="G701" s="78"/>
      <c r="H701" s="76" t="str">
        <f aca="true">IF(G701="","",IF(G701=1,"Completed",
IF(G701=0,"Not Started",
IF(AND(F701&lt;&gt;"",ISNUMBER(F701),F701&lt;TODAY()),"Delayed","In Progress")
)
)
)</f>
        <v/>
      </c>
      <c r="I701" s="76"/>
      <c r="J701" s="76"/>
      <c r="K701" s="76"/>
      <c r="L701" s="76"/>
      <c r="M701" s="80"/>
      <c r="N701" s="96"/>
    </row>
    <row r="702" customFormat="false" ht="22.5" hidden="false" customHeight="true" outlineLevel="0" collapsed="false">
      <c r="A702" s="94"/>
      <c r="B702" s="95"/>
      <c r="C702" s="84"/>
      <c r="D702" s="76"/>
      <c r="E702" s="77"/>
      <c r="F702" s="77"/>
      <c r="G702" s="78"/>
      <c r="H702" s="76" t="str">
        <f aca="true">IF(G702="","",IF(G702=1,"Completed",
IF(G702=0,"Not Started",
IF(AND(F702&lt;&gt;"",ISNUMBER(F702),F702&lt;TODAY()),"Delayed","In Progress")
)
)
)</f>
        <v/>
      </c>
      <c r="I702" s="76"/>
      <c r="J702" s="76"/>
      <c r="K702" s="76"/>
      <c r="L702" s="76"/>
      <c r="M702" s="80"/>
      <c r="N702" s="96"/>
    </row>
    <row r="703" customFormat="false" ht="22.5" hidden="false" customHeight="true" outlineLevel="0" collapsed="false">
      <c r="A703" s="94"/>
      <c r="B703" s="95"/>
      <c r="C703" s="84"/>
      <c r="D703" s="76"/>
      <c r="E703" s="77"/>
      <c r="F703" s="77"/>
      <c r="G703" s="78"/>
      <c r="H703" s="76" t="str">
        <f aca="true">IF(G703="","",IF(G703=1,"Completed",
IF(G703=0,"Not Started",
IF(AND(F703&lt;&gt;"",ISNUMBER(F703),F703&lt;TODAY()),"Delayed","In Progress")
)
)
)</f>
        <v/>
      </c>
      <c r="I703" s="76"/>
      <c r="J703" s="76"/>
      <c r="K703" s="76"/>
      <c r="L703" s="76"/>
      <c r="M703" s="80"/>
      <c r="N703" s="96"/>
    </row>
    <row r="704" customFormat="false" ht="22.5" hidden="false" customHeight="true" outlineLevel="0" collapsed="false">
      <c r="A704" s="94"/>
      <c r="B704" s="95"/>
      <c r="C704" s="84"/>
      <c r="D704" s="76"/>
      <c r="E704" s="77"/>
      <c r="F704" s="77"/>
      <c r="G704" s="78"/>
      <c r="H704" s="76" t="str">
        <f aca="true">IF(G704="","",IF(G704=1,"Completed",
IF(G704=0,"Not Started",
IF(AND(F704&lt;&gt;"",ISNUMBER(F704),F704&lt;TODAY()),"Delayed","In Progress")
)
)
)</f>
        <v/>
      </c>
      <c r="I704" s="76"/>
      <c r="J704" s="76"/>
      <c r="K704" s="76"/>
      <c r="L704" s="76"/>
      <c r="M704" s="80"/>
      <c r="N704" s="96"/>
    </row>
    <row r="705" customFormat="false" ht="22.5" hidden="false" customHeight="true" outlineLevel="0" collapsed="false">
      <c r="A705" s="94"/>
      <c r="B705" s="95"/>
      <c r="C705" s="84"/>
      <c r="D705" s="76"/>
      <c r="E705" s="77"/>
      <c r="F705" s="77"/>
      <c r="G705" s="78"/>
      <c r="H705" s="76" t="str">
        <f aca="true">IF(G705="","",IF(G705=1,"Completed",
IF(G705=0,"Not Started",
IF(AND(F705&lt;&gt;"",ISNUMBER(F705),F705&lt;TODAY()),"Delayed","In Progress")
)
)
)</f>
        <v/>
      </c>
      <c r="I705" s="76"/>
      <c r="J705" s="76"/>
      <c r="K705" s="76"/>
      <c r="L705" s="76"/>
      <c r="M705" s="80"/>
      <c r="N705" s="96"/>
    </row>
    <row r="706" customFormat="false" ht="22.5" hidden="false" customHeight="true" outlineLevel="0" collapsed="false">
      <c r="A706" s="94"/>
      <c r="B706" s="95"/>
      <c r="C706" s="84"/>
      <c r="D706" s="76"/>
      <c r="E706" s="77"/>
      <c r="F706" s="77"/>
      <c r="G706" s="78"/>
      <c r="H706" s="76" t="str">
        <f aca="true">IF(G706="","",IF(G706=1,"Completed",
IF(G706=0,"Not Started",
IF(AND(F706&lt;&gt;"",ISNUMBER(F706),F706&lt;TODAY()),"Delayed","In Progress")
)
)
)</f>
        <v/>
      </c>
      <c r="I706" s="76"/>
      <c r="J706" s="76"/>
      <c r="K706" s="76"/>
      <c r="L706" s="76"/>
      <c r="M706" s="80"/>
      <c r="N706" s="96"/>
    </row>
    <row r="707" customFormat="false" ht="22.5" hidden="false" customHeight="true" outlineLevel="0" collapsed="false">
      <c r="A707" s="94"/>
      <c r="B707" s="95"/>
      <c r="C707" s="84"/>
      <c r="D707" s="76"/>
      <c r="E707" s="77"/>
      <c r="F707" s="77"/>
      <c r="G707" s="78"/>
      <c r="H707" s="76" t="str">
        <f aca="true">IF(G707="","",IF(G707=1,"Completed",
IF(G707=0,"Not Started",
IF(AND(F707&lt;&gt;"",ISNUMBER(F707),F707&lt;TODAY()),"Delayed","In Progress")
)
)
)</f>
        <v/>
      </c>
      <c r="I707" s="76"/>
      <c r="J707" s="76"/>
      <c r="K707" s="76"/>
      <c r="L707" s="76"/>
      <c r="M707" s="80"/>
      <c r="N707" s="96"/>
    </row>
    <row r="708" customFormat="false" ht="22.5" hidden="false" customHeight="true" outlineLevel="0" collapsed="false">
      <c r="A708" s="94"/>
      <c r="B708" s="95"/>
      <c r="C708" s="84"/>
      <c r="D708" s="76"/>
      <c r="E708" s="77"/>
      <c r="F708" s="77"/>
      <c r="G708" s="78"/>
      <c r="H708" s="76" t="str">
        <f aca="true">IF(G708="","",IF(G708=1,"Completed",
IF(G708=0,"Not Started",
IF(AND(F708&lt;&gt;"",ISNUMBER(F708),F708&lt;TODAY()),"Delayed","In Progress")
)
)
)</f>
        <v/>
      </c>
      <c r="I708" s="76"/>
      <c r="J708" s="76"/>
      <c r="K708" s="76"/>
      <c r="L708" s="76"/>
      <c r="M708" s="80"/>
      <c r="N708" s="96"/>
    </row>
    <row r="709" customFormat="false" ht="22.5" hidden="false" customHeight="true" outlineLevel="0" collapsed="false">
      <c r="A709" s="94"/>
      <c r="B709" s="95"/>
      <c r="C709" s="84"/>
      <c r="D709" s="76"/>
      <c r="E709" s="77"/>
      <c r="F709" s="77"/>
      <c r="G709" s="78"/>
      <c r="H709" s="76" t="str">
        <f aca="true">IF(G709="","",IF(G709=1,"Completed",
IF(G709=0,"Not Started",
IF(AND(F709&lt;&gt;"",ISNUMBER(F709),F709&lt;TODAY()),"Delayed","In Progress")
)
)
)</f>
        <v/>
      </c>
      <c r="I709" s="76"/>
      <c r="J709" s="76"/>
      <c r="K709" s="76"/>
      <c r="L709" s="76"/>
      <c r="M709" s="80"/>
      <c r="N709" s="96"/>
    </row>
    <row r="710" customFormat="false" ht="22.5" hidden="false" customHeight="true" outlineLevel="0" collapsed="false">
      <c r="A710" s="94"/>
      <c r="B710" s="95"/>
      <c r="C710" s="84"/>
      <c r="D710" s="76"/>
      <c r="E710" s="77"/>
      <c r="F710" s="77"/>
      <c r="G710" s="78"/>
      <c r="H710" s="76" t="str">
        <f aca="true">IF(G710="","",IF(G710=1,"Completed",
  IF(G710=0,"Not Started",
   IF(AND(F710&lt;&gt;"",ISNUMBER(F710),F710&lt;TODAY()),"Delayed","In Progress")
  )
 )
)</f>
        <v/>
      </c>
      <c r="I710" s="76"/>
      <c r="J710" s="76"/>
      <c r="K710" s="76"/>
      <c r="L710" s="76"/>
      <c r="M710" s="80"/>
      <c r="N710" s="96"/>
    </row>
    <row r="711" customFormat="false" ht="22.5" hidden="false" customHeight="true" outlineLevel="0" collapsed="false">
      <c r="A711" s="94"/>
      <c r="B711" s="95"/>
      <c r="C711" s="84"/>
      <c r="D711" s="76"/>
      <c r="E711" s="77"/>
      <c r="F711" s="77"/>
      <c r="G711" s="78"/>
      <c r="H711" s="76" t="str">
        <f aca="true">IF(G711="","",IF(G711=1,"Completed",
IF(G711=0,"Not Started",
IF(AND(F711&lt;&gt;"",ISNUMBER(F711),F711&lt;TODAY()),"Delayed","In Progress")
)
)
)</f>
        <v/>
      </c>
      <c r="I711" s="76"/>
      <c r="J711" s="76"/>
      <c r="K711" s="76"/>
      <c r="L711" s="76"/>
      <c r="M711" s="80"/>
      <c r="N711" s="96"/>
    </row>
    <row r="712" customFormat="false" ht="22.5" hidden="false" customHeight="true" outlineLevel="0" collapsed="false">
      <c r="A712" s="94"/>
      <c r="B712" s="95"/>
      <c r="C712" s="84"/>
      <c r="D712" s="76"/>
      <c r="E712" s="77"/>
      <c r="F712" s="77"/>
      <c r="G712" s="78"/>
      <c r="H712" s="76" t="str">
        <f aca="true">IF(G712="","",IF(G712=1,"Completed",
IF(G712=0,"Not Started",
IF(AND(F712&lt;&gt;"",ISNUMBER(F712),F712&lt;TODAY()),"Delayed","In Progress")
)
)
)</f>
        <v/>
      </c>
      <c r="I712" s="76"/>
      <c r="J712" s="76"/>
      <c r="K712" s="76"/>
      <c r="L712" s="76"/>
      <c r="M712" s="80"/>
      <c r="N712" s="96"/>
    </row>
    <row r="713" customFormat="false" ht="22.5" hidden="false" customHeight="true" outlineLevel="0" collapsed="false">
      <c r="A713" s="94"/>
      <c r="B713" s="95"/>
      <c r="C713" s="84"/>
      <c r="D713" s="76"/>
      <c r="E713" s="77"/>
      <c r="F713" s="77"/>
      <c r="G713" s="78"/>
      <c r="H713" s="76" t="str">
        <f aca="true">IF(G713="","",IF(G713=1,"Completed",
IF(G713=0,"Not Started",
IF(AND(F713&lt;&gt;"",ISNUMBER(F713),F713&lt;TODAY()),"Delayed","In Progress")
)
)
)</f>
        <v/>
      </c>
      <c r="I713" s="76"/>
      <c r="J713" s="76"/>
      <c r="K713" s="76"/>
      <c r="L713" s="76"/>
      <c r="M713" s="80"/>
      <c r="N713" s="96"/>
    </row>
    <row r="714" customFormat="false" ht="22.5" hidden="false" customHeight="true" outlineLevel="0" collapsed="false">
      <c r="A714" s="94"/>
      <c r="B714" s="95"/>
      <c r="C714" s="84"/>
      <c r="D714" s="76"/>
      <c r="E714" s="77"/>
      <c r="F714" s="77"/>
      <c r="G714" s="78"/>
      <c r="H714" s="76" t="str">
        <f aca="true">IF(G714="","",IF(G714=1,"Completed",
IF(G714=0,"Not Started",
IF(AND(F714&lt;&gt;"",ISNUMBER(F714),F714&lt;TODAY()),"Delayed","In Progress")
)
)
)</f>
        <v/>
      </c>
      <c r="I714" s="76"/>
      <c r="J714" s="76"/>
      <c r="K714" s="76"/>
      <c r="L714" s="76"/>
      <c r="M714" s="80"/>
      <c r="N714" s="96"/>
    </row>
    <row r="715" customFormat="false" ht="22.5" hidden="false" customHeight="true" outlineLevel="0" collapsed="false">
      <c r="A715" s="94"/>
      <c r="B715" s="95"/>
      <c r="C715" s="84"/>
      <c r="D715" s="76"/>
      <c r="E715" s="77"/>
      <c r="F715" s="77"/>
      <c r="G715" s="78"/>
      <c r="H715" s="76" t="str">
        <f aca="true">IF(G715="","",IF(G715=1,"Completed",
IF(G715=0,"Not Started",
IF(AND(F715&lt;&gt;"",ISNUMBER(F715),F715&lt;TODAY()),"Delayed","In Progress")
)
)
)</f>
        <v/>
      </c>
      <c r="I715" s="76"/>
      <c r="J715" s="76"/>
      <c r="K715" s="76"/>
      <c r="L715" s="76"/>
      <c r="M715" s="80"/>
      <c r="N715" s="96"/>
    </row>
    <row r="716" customFormat="false" ht="22.5" hidden="false" customHeight="true" outlineLevel="0" collapsed="false">
      <c r="A716" s="94"/>
      <c r="B716" s="95"/>
      <c r="C716" s="84"/>
      <c r="D716" s="76"/>
      <c r="E716" s="77"/>
      <c r="F716" s="77"/>
      <c r="G716" s="78"/>
      <c r="H716" s="76" t="str">
        <f aca="true">IF(G716="","",IF(G716=1,"Completed",
IF(G716=0,"Not Started",
IF(AND(F716&lt;&gt;"",ISNUMBER(F716),F716&lt;TODAY()),"Delayed","In Progress")
)
)
)</f>
        <v/>
      </c>
      <c r="I716" s="76"/>
      <c r="J716" s="76"/>
      <c r="K716" s="76"/>
      <c r="L716" s="76"/>
      <c r="M716" s="80"/>
      <c r="N716" s="96"/>
    </row>
    <row r="717" customFormat="false" ht="22.5" hidden="false" customHeight="true" outlineLevel="0" collapsed="false">
      <c r="A717" s="94"/>
      <c r="B717" s="95"/>
      <c r="C717" s="84"/>
      <c r="D717" s="76"/>
      <c r="E717" s="77"/>
      <c r="F717" s="77"/>
      <c r="G717" s="78"/>
      <c r="H717" s="76" t="str">
        <f aca="true">IF(G717="","",IF(G717=1,"Completed",
IF(G717=0,"Not Started",
IF(AND(F717&lt;&gt;"",ISNUMBER(F717),F717&lt;TODAY()),"Delayed","In Progress")
)
)
)</f>
        <v/>
      </c>
      <c r="I717" s="76"/>
      <c r="J717" s="76"/>
      <c r="K717" s="76"/>
      <c r="L717" s="76"/>
      <c r="M717" s="80"/>
      <c r="N717" s="96"/>
    </row>
    <row r="718" customFormat="false" ht="22.5" hidden="false" customHeight="true" outlineLevel="0" collapsed="false">
      <c r="A718" s="94"/>
      <c r="B718" s="95"/>
      <c r="C718" s="84"/>
      <c r="D718" s="76"/>
      <c r="E718" s="77"/>
      <c r="F718" s="77"/>
      <c r="G718" s="78"/>
      <c r="H718" s="76" t="str">
        <f aca="true">IF(G718="","",IF(G718=1,"Completed",
IF(G718=0,"Not Started",
IF(AND(F718&lt;&gt;"",ISNUMBER(F718),F718&lt;TODAY()),"Delayed","In Progress")
)
)
)</f>
        <v/>
      </c>
      <c r="I718" s="76"/>
      <c r="J718" s="76"/>
      <c r="K718" s="76"/>
      <c r="L718" s="76"/>
      <c r="M718" s="80"/>
      <c r="N718" s="96"/>
    </row>
    <row r="719" customFormat="false" ht="22.5" hidden="false" customHeight="true" outlineLevel="0" collapsed="false">
      <c r="A719" s="94"/>
      <c r="B719" s="95"/>
      <c r="C719" s="84"/>
      <c r="D719" s="76"/>
      <c r="E719" s="77"/>
      <c r="F719" s="77"/>
      <c r="G719" s="78"/>
      <c r="H719" s="76" t="str">
        <f aca="true">IF(G719="","",IF(G719=1,"Completed",
IF(G719=0,"Not Started",
IF(AND(F719&lt;&gt;"",ISNUMBER(F719),F719&lt;TODAY()),"Delayed","In Progress")
)
)
)</f>
        <v/>
      </c>
      <c r="I719" s="76"/>
      <c r="J719" s="76"/>
      <c r="K719" s="76"/>
      <c r="L719" s="76"/>
      <c r="M719" s="80"/>
      <c r="N719" s="96"/>
    </row>
    <row r="720" customFormat="false" ht="22.5" hidden="false" customHeight="true" outlineLevel="0" collapsed="false">
      <c r="A720" s="94"/>
      <c r="B720" s="95"/>
      <c r="C720" s="84"/>
      <c r="D720" s="76"/>
      <c r="E720" s="77"/>
      <c r="F720" s="77"/>
      <c r="G720" s="78"/>
      <c r="H720" s="76" t="str">
        <f aca="true">IF(G720="","",IF(G720=1,"Completed",
IF(G720=0,"Not Started",
IF(AND(F720&lt;&gt;"",ISNUMBER(F720),F720&lt;TODAY()),"Delayed","In Progress")
)
)
)</f>
        <v/>
      </c>
      <c r="I720" s="76"/>
      <c r="J720" s="76"/>
      <c r="K720" s="76"/>
      <c r="L720" s="76"/>
      <c r="M720" s="80"/>
      <c r="N720" s="96"/>
    </row>
    <row r="721" customFormat="false" ht="22.5" hidden="false" customHeight="true" outlineLevel="0" collapsed="false">
      <c r="A721" s="94"/>
      <c r="B721" s="95"/>
      <c r="C721" s="84"/>
      <c r="D721" s="76"/>
      <c r="E721" s="77"/>
      <c r="F721" s="77"/>
      <c r="G721" s="78"/>
      <c r="H721" s="76" t="str">
        <f aca="true">IF(G721="","",IF(G721=1,"Completed",
IF(G721=0,"Not Started",
IF(AND(F721&lt;&gt;"",ISNUMBER(F721),F721&lt;TODAY()),"Delayed","In Progress")
)
)
)</f>
        <v/>
      </c>
      <c r="I721" s="76"/>
      <c r="J721" s="76"/>
      <c r="K721" s="76"/>
      <c r="L721" s="76"/>
      <c r="M721" s="80"/>
      <c r="N721" s="96"/>
    </row>
    <row r="722" customFormat="false" ht="22.5" hidden="false" customHeight="true" outlineLevel="0" collapsed="false">
      <c r="A722" s="94"/>
      <c r="B722" s="95"/>
      <c r="C722" s="84"/>
      <c r="D722" s="76"/>
      <c r="E722" s="77"/>
      <c r="F722" s="77"/>
      <c r="G722" s="78"/>
      <c r="H722" s="76" t="str">
        <f aca="true">IF(G722="","",IF(G722=1,"Completed",
IF(G722=0,"Not Started",
IF(AND(F722&lt;&gt;"",ISNUMBER(F722),F722&lt;TODAY()),"Delayed","In Progress")
)
)
)</f>
        <v/>
      </c>
      <c r="I722" s="76"/>
      <c r="J722" s="76"/>
      <c r="K722" s="76"/>
      <c r="L722" s="76"/>
      <c r="M722" s="80"/>
      <c r="N722" s="96"/>
    </row>
    <row r="723" customFormat="false" ht="22.5" hidden="false" customHeight="true" outlineLevel="0" collapsed="false">
      <c r="A723" s="94"/>
      <c r="B723" s="95"/>
      <c r="C723" s="84"/>
      <c r="D723" s="76"/>
      <c r="E723" s="77"/>
      <c r="F723" s="77"/>
      <c r="G723" s="78"/>
      <c r="H723" s="76" t="str">
        <f aca="true">IF(G723="","",IF(G723=1,"Completed",
IF(G723=0,"Not Started",
IF(AND(F723&lt;&gt;"",ISNUMBER(F723),F723&lt;TODAY()),"Delayed","In Progress")
)
)
)</f>
        <v/>
      </c>
      <c r="I723" s="76"/>
      <c r="J723" s="76"/>
      <c r="K723" s="76"/>
      <c r="L723" s="76"/>
      <c r="M723" s="80"/>
      <c r="N723" s="96"/>
    </row>
    <row r="724" customFormat="false" ht="22.5" hidden="false" customHeight="true" outlineLevel="0" collapsed="false">
      <c r="A724" s="94"/>
      <c r="B724" s="95"/>
      <c r="C724" s="84"/>
      <c r="D724" s="76"/>
      <c r="E724" s="77"/>
      <c r="F724" s="77"/>
      <c r="G724" s="78"/>
      <c r="H724" s="76" t="str">
        <f aca="true">IF(G724="","",IF(G724=1,"Completed",
IF(G724=0,"Not Started",
IF(AND(F724&lt;&gt;"",ISNUMBER(F724),F724&lt;TODAY()),"Delayed","In Progress")
)
)
)</f>
        <v/>
      </c>
      <c r="I724" s="76"/>
      <c r="J724" s="76"/>
      <c r="K724" s="76"/>
      <c r="L724" s="76"/>
      <c r="M724" s="80"/>
      <c r="N724" s="96"/>
    </row>
    <row r="725" customFormat="false" ht="22.5" hidden="false" customHeight="true" outlineLevel="0" collapsed="false">
      <c r="A725" s="94"/>
      <c r="B725" s="95"/>
      <c r="C725" s="84"/>
      <c r="D725" s="76"/>
      <c r="E725" s="77"/>
      <c r="F725" s="77"/>
      <c r="G725" s="78"/>
      <c r="H725" s="76" t="str">
        <f aca="true">IF(G725="","",IF(G725=1,"Completed",
IF(G725=0,"Not Started",
IF(AND(F725&lt;&gt;"",ISNUMBER(F725),F725&lt;TODAY()),"Delayed","In Progress")
)
)
)</f>
        <v/>
      </c>
      <c r="I725" s="76"/>
      <c r="J725" s="76"/>
      <c r="K725" s="76"/>
      <c r="L725" s="76"/>
      <c r="M725" s="80"/>
      <c r="N725" s="96"/>
    </row>
    <row r="726" customFormat="false" ht="22.5" hidden="false" customHeight="true" outlineLevel="0" collapsed="false">
      <c r="A726" s="94"/>
      <c r="B726" s="95"/>
      <c r="C726" s="84"/>
      <c r="D726" s="76"/>
      <c r="E726" s="77"/>
      <c r="F726" s="77"/>
      <c r="G726" s="78"/>
      <c r="H726" s="76" t="str">
        <f aca="true">IF(G726="","",IF(G726=1,"Completed",
IF(G726=0,"Not Started",
IF(AND(F726&lt;&gt;"",ISNUMBER(F726),F726&lt;TODAY()),"Delayed","In Progress")
)
)
)</f>
        <v/>
      </c>
      <c r="I726" s="76"/>
      <c r="J726" s="76"/>
      <c r="K726" s="76"/>
      <c r="L726" s="76"/>
      <c r="M726" s="80"/>
      <c r="N726" s="96"/>
    </row>
    <row r="727" customFormat="false" ht="22.5" hidden="false" customHeight="true" outlineLevel="0" collapsed="false">
      <c r="A727" s="94"/>
      <c r="B727" s="95"/>
      <c r="C727" s="84"/>
      <c r="D727" s="76"/>
      <c r="E727" s="77"/>
      <c r="F727" s="77"/>
      <c r="G727" s="78"/>
      <c r="H727" s="76" t="str">
        <f aca="true">IF(G727="","",IF(G727=1,"Completed",
IF(G727=0,"Not Started",
IF(AND(F727&lt;&gt;"",ISNUMBER(F727),F727&lt;TODAY()),"Delayed","In Progress")
)
)
)</f>
        <v/>
      </c>
      <c r="I727" s="76"/>
      <c r="J727" s="76"/>
      <c r="K727" s="76"/>
      <c r="L727" s="76"/>
      <c r="M727" s="80"/>
      <c r="N727" s="96"/>
    </row>
    <row r="728" customFormat="false" ht="22.5" hidden="false" customHeight="true" outlineLevel="0" collapsed="false">
      <c r="A728" s="94"/>
      <c r="B728" s="95"/>
      <c r="C728" s="84"/>
      <c r="D728" s="76"/>
      <c r="E728" s="77"/>
      <c r="F728" s="77"/>
      <c r="G728" s="78"/>
      <c r="H728" s="76" t="str">
        <f aca="true">IF(G728="","",IF(G728=1,"Completed",
IF(G728=0,"Not Started",
IF(AND(F728&lt;&gt;"",ISNUMBER(F728),F728&lt;TODAY()),"Delayed","In Progress")
)
)
)</f>
        <v/>
      </c>
      <c r="I728" s="76"/>
      <c r="J728" s="76"/>
      <c r="K728" s="76"/>
      <c r="L728" s="76"/>
      <c r="M728" s="80"/>
      <c r="N728" s="96"/>
    </row>
    <row r="729" customFormat="false" ht="22.5" hidden="false" customHeight="true" outlineLevel="0" collapsed="false">
      <c r="A729" s="94"/>
      <c r="B729" s="95"/>
      <c r="C729" s="84"/>
      <c r="D729" s="76"/>
      <c r="E729" s="77"/>
      <c r="F729" s="77"/>
      <c r="G729" s="78"/>
      <c r="H729" s="76" t="str">
        <f aca="true">IF(G729="","",IF(G729=1,"Completed",
IF(G729=0,"Not Started",
IF(AND(F729&lt;&gt;"",ISNUMBER(F729),F729&lt;TODAY()),"Delayed","In Progress")
)
)
)</f>
        <v/>
      </c>
      <c r="I729" s="76"/>
      <c r="J729" s="76"/>
      <c r="K729" s="76"/>
      <c r="L729" s="76"/>
      <c r="M729" s="80"/>
      <c r="N729" s="96"/>
    </row>
    <row r="730" customFormat="false" ht="22.5" hidden="false" customHeight="true" outlineLevel="0" collapsed="false">
      <c r="A730" s="94"/>
      <c r="B730" s="95"/>
      <c r="C730" s="84"/>
      <c r="D730" s="76"/>
      <c r="E730" s="77"/>
      <c r="F730" s="77"/>
      <c r="G730" s="78"/>
      <c r="H730" s="76" t="str">
        <f aca="true">IF(G730="","",IF(G730=1,"Completed",
IF(G730=0,"Not Started",
IF(AND(F730&lt;&gt;"",ISNUMBER(F730),F730&lt;TODAY()),"Delayed","In Progress")
)
)
)</f>
        <v/>
      </c>
      <c r="I730" s="76"/>
      <c r="J730" s="76"/>
      <c r="K730" s="76"/>
      <c r="L730" s="76"/>
      <c r="M730" s="80"/>
      <c r="N730" s="96"/>
    </row>
    <row r="731" customFormat="false" ht="22.5" hidden="false" customHeight="true" outlineLevel="0" collapsed="false">
      <c r="A731" s="94"/>
      <c r="B731" s="95"/>
      <c r="C731" s="84"/>
      <c r="D731" s="76"/>
      <c r="E731" s="77"/>
      <c r="F731" s="77"/>
      <c r="G731" s="78"/>
      <c r="H731" s="76" t="str">
        <f aca="true">IF(G731="","",IF(G731=1,"Completed",
IF(G731=0,"Not Started",
IF(AND(F731&lt;&gt;"",ISNUMBER(F731),F731&lt;TODAY()),"Delayed","In Progress")
)
)
)</f>
        <v/>
      </c>
      <c r="I731" s="76"/>
      <c r="J731" s="76"/>
      <c r="K731" s="76"/>
      <c r="L731" s="76"/>
      <c r="M731" s="80"/>
      <c r="N731" s="96"/>
    </row>
    <row r="732" customFormat="false" ht="22.5" hidden="false" customHeight="true" outlineLevel="0" collapsed="false">
      <c r="A732" s="94"/>
      <c r="B732" s="95"/>
      <c r="C732" s="84"/>
      <c r="D732" s="76"/>
      <c r="E732" s="77"/>
      <c r="F732" s="77"/>
      <c r="G732" s="78"/>
      <c r="H732" s="76" t="str">
        <f aca="true">IF(G732="","",IF(G732=1,"Completed",
IF(G732=0,"Not Started",
IF(AND(F732&lt;&gt;"",ISNUMBER(F732),F732&lt;TODAY()),"Delayed","In Progress")
)
)
)</f>
        <v/>
      </c>
      <c r="I732" s="76"/>
      <c r="J732" s="76"/>
      <c r="K732" s="76"/>
      <c r="L732" s="76"/>
      <c r="M732" s="80"/>
      <c r="N732" s="96"/>
    </row>
    <row r="733" customFormat="false" ht="22.5" hidden="false" customHeight="true" outlineLevel="0" collapsed="false">
      <c r="A733" s="94"/>
      <c r="B733" s="95"/>
      <c r="C733" s="84"/>
      <c r="D733" s="76"/>
      <c r="E733" s="77"/>
      <c r="F733" s="77"/>
      <c r="G733" s="78"/>
      <c r="H733" s="76" t="str">
        <f aca="true">IF(G733="","",IF(G733=1,"Completed",
IF(G733=0,"Not Started",
IF(AND(F733&lt;&gt;"",ISNUMBER(F733),F733&lt;TODAY()),"Delayed","In Progress")
)
)
)</f>
        <v/>
      </c>
      <c r="I733" s="76"/>
      <c r="J733" s="76"/>
      <c r="K733" s="76"/>
      <c r="L733" s="76"/>
      <c r="M733" s="80"/>
      <c r="N733" s="96"/>
    </row>
    <row r="734" customFormat="false" ht="22.5" hidden="false" customHeight="true" outlineLevel="0" collapsed="false">
      <c r="A734" s="94"/>
      <c r="B734" s="95"/>
      <c r="C734" s="84"/>
      <c r="D734" s="76"/>
      <c r="E734" s="77"/>
      <c r="F734" s="77"/>
      <c r="G734" s="78"/>
      <c r="H734" s="76" t="str">
        <f aca="true">IF(G734="","",IF(G734=1,"Completed",
IF(G734=0,"Not Started",
IF(AND(F734&lt;&gt;"",ISNUMBER(F734),F734&lt;TODAY()),"Delayed","In Progress")
)
)
)</f>
        <v/>
      </c>
      <c r="I734" s="76"/>
      <c r="J734" s="76"/>
      <c r="K734" s="76"/>
      <c r="L734" s="76"/>
      <c r="M734" s="80"/>
      <c r="N734" s="96"/>
    </row>
    <row r="735" customFormat="false" ht="22.5" hidden="false" customHeight="true" outlineLevel="0" collapsed="false">
      <c r="A735" s="94"/>
      <c r="B735" s="95"/>
      <c r="C735" s="84"/>
      <c r="D735" s="76"/>
      <c r="E735" s="77"/>
      <c r="F735" s="77"/>
      <c r="G735" s="78"/>
      <c r="H735" s="76" t="str">
        <f aca="true">IF(G735="","",IF(G735=1,"Completed",
IF(G735=0,"Not Started",
IF(AND(F735&lt;&gt;"",ISNUMBER(F735),F735&lt;TODAY()),"Delayed","In Progress")
)
)
)</f>
        <v/>
      </c>
      <c r="I735" s="76"/>
      <c r="J735" s="76"/>
      <c r="K735" s="76"/>
      <c r="L735" s="76"/>
      <c r="M735" s="80"/>
      <c r="N735" s="96"/>
    </row>
    <row r="736" customFormat="false" ht="22.5" hidden="false" customHeight="true" outlineLevel="0" collapsed="false">
      <c r="A736" s="94"/>
      <c r="B736" s="95"/>
      <c r="C736" s="84"/>
      <c r="D736" s="76"/>
      <c r="E736" s="77"/>
      <c r="F736" s="77"/>
      <c r="G736" s="78"/>
      <c r="H736" s="76" t="str">
        <f aca="true">IF(G736="","",IF(G736=1,"Completed",
IF(G736=0,"Not Started",
IF(AND(F736&lt;&gt;"",ISNUMBER(F736),F736&lt;TODAY()),"Delayed","In Progress")
)
)
)</f>
        <v/>
      </c>
      <c r="I736" s="76"/>
      <c r="J736" s="76"/>
      <c r="K736" s="76"/>
      <c r="L736" s="76"/>
      <c r="M736" s="80"/>
      <c r="N736" s="96"/>
    </row>
    <row r="737" customFormat="false" ht="22.5" hidden="false" customHeight="true" outlineLevel="0" collapsed="false">
      <c r="A737" s="94"/>
      <c r="B737" s="95"/>
      <c r="C737" s="84"/>
      <c r="D737" s="76"/>
      <c r="E737" s="77"/>
      <c r="F737" s="77"/>
      <c r="G737" s="78"/>
      <c r="H737" s="76" t="str">
        <f aca="true">IF(G737="","",IF(G737=1,"Completed",
IF(G737=0,"Not Started",
IF(AND(F737&lt;&gt;"",ISNUMBER(F737),F737&lt;TODAY()),"Delayed","In Progress")
)
)
)</f>
        <v/>
      </c>
      <c r="I737" s="76"/>
      <c r="J737" s="76"/>
      <c r="K737" s="76"/>
      <c r="L737" s="76"/>
      <c r="M737" s="80"/>
      <c r="N737" s="96"/>
    </row>
    <row r="738" customFormat="false" ht="22.5" hidden="false" customHeight="true" outlineLevel="0" collapsed="false">
      <c r="A738" s="94"/>
      <c r="B738" s="95"/>
      <c r="C738" s="84"/>
      <c r="D738" s="76"/>
      <c r="E738" s="77"/>
      <c r="F738" s="77"/>
      <c r="G738" s="78"/>
      <c r="H738" s="76" t="str">
        <f aca="true">IF(G738="","",IF(G738=1,"Completed",
IF(G738=0,"Not Started",
IF(AND(F738&lt;&gt;"",ISNUMBER(F738),F738&lt;TODAY()),"Delayed","In Progress")
)
)
)</f>
        <v/>
      </c>
      <c r="I738" s="76"/>
      <c r="J738" s="76"/>
      <c r="K738" s="76"/>
      <c r="L738" s="76"/>
      <c r="M738" s="80"/>
      <c r="N738" s="96"/>
    </row>
    <row r="739" customFormat="false" ht="22.5" hidden="false" customHeight="true" outlineLevel="0" collapsed="false">
      <c r="A739" s="94"/>
      <c r="B739" s="95"/>
      <c r="C739" s="84"/>
      <c r="D739" s="76"/>
      <c r="E739" s="77"/>
      <c r="F739" s="77"/>
      <c r="G739" s="78"/>
      <c r="H739" s="76" t="str">
        <f aca="true">IF(G739="","",IF(G739=1,"Completed",
IF(G739=0,"Not Started",
IF(AND(F739&lt;&gt;"",ISNUMBER(F739),F739&lt;TODAY()),"Delayed","In Progress")
)
)
)</f>
        <v/>
      </c>
      <c r="I739" s="76"/>
      <c r="J739" s="76"/>
      <c r="K739" s="76"/>
      <c r="L739" s="76"/>
      <c r="M739" s="80"/>
      <c r="N739" s="96"/>
    </row>
    <row r="740" customFormat="false" ht="22.5" hidden="false" customHeight="true" outlineLevel="0" collapsed="false">
      <c r="A740" s="94"/>
      <c r="B740" s="95"/>
      <c r="C740" s="84"/>
      <c r="D740" s="76"/>
      <c r="E740" s="77"/>
      <c r="F740" s="77"/>
      <c r="G740" s="78"/>
      <c r="H740" s="76" t="str">
        <f aca="true">IF(G740="","",IF(G740=1,"Completed",
IF(G740=0,"Not Started",
IF(AND(F740&lt;&gt;"",ISNUMBER(F740),F740&lt;TODAY()),"Delayed","In Progress")
)
)
)</f>
        <v/>
      </c>
      <c r="I740" s="76"/>
      <c r="J740" s="76"/>
      <c r="K740" s="76"/>
      <c r="L740" s="76"/>
      <c r="M740" s="80"/>
      <c r="N740" s="96"/>
    </row>
    <row r="741" customFormat="false" ht="22.5" hidden="false" customHeight="true" outlineLevel="0" collapsed="false">
      <c r="A741" s="94"/>
      <c r="B741" s="95"/>
      <c r="C741" s="84"/>
      <c r="D741" s="76"/>
      <c r="E741" s="77"/>
      <c r="F741" s="77"/>
      <c r="G741" s="78"/>
      <c r="H741" s="76" t="str">
        <f aca="true">IF(G741="","",IF(G741=1,"Completed",
IF(G741=0,"Not Started",
IF(AND(F741&lt;&gt;"",ISNUMBER(F741),F741&lt;TODAY()),"Delayed","In Progress")
)
)
)</f>
        <v/>
      </c>
      <c r="I741" s="76"/>
      <c r="J741" s="76"/>
      <c r="K741" s="76"/>
      <c r="L741" s="76"/>
      <c r="M741" s="80"/>
      <c r="N741" s="96"/>
    </row>
    <row r="742" customFormat="false" ht="22.5" hidden="false" customHeight="true" outlineLevel="0" collapsed="false">
      <c r="A742" s="94"/>
      <c r="B742" s="95"/>
      <c r="C742" s="84"/>
      <c r="D742" s="76"/>
      <c r="E742" s="77"/>
      <c r="F742" s="77"/>
      <c r="G742" s="78"/>
      <c r="H742" s="76" t="str">
        <f aca="true">IF(G742="","",IF(G742=1,"Completed",
IF(G742=0,"Not Started",
IF(AND(F742&lt;&gt;"",ISNUMBER(F742),F742&lt;TODAY()),"Delayed","In Progress")
)
)
)</f>
        <v/>
      </c>
      <c r="I742" s="76"/>
      <c r="J742" s="76"/>
      <c r="K742" s="76"/>
      <c r="L742" s="76"/>
      <c r="M742" s="80"/>
      <c r="N742" s="96"/>
    </row>
    <row r="743" customFormat="false" ht="22.5" hidden="false" customHeight="true" outlineLevel="0" collapsed="false">
      <c r="A743" s="94"/>
      <c r="B743" s="95"/>
      <c r="C743" s="84"/>
      <c r="D743" s="76"/>
      <c r="E743" s="77"/>
      <c r="F743" s="77"/>
      <c r="G743" s="78"/>
      <c r="H743" s="76" t="str">
        <f aca="true">IF(G743="","",IF(G743=1,"Completed",
IF(G743=0,"Not Started",
IF(AND(F743&lt;&gt;"",ISNUMBER(F743),F743&lt;TODAY()),"Delayed","In Progress")
)
)
)</f>
        <v/>
      </c>
      <c r="I743" s="76"/>
      <c r="J743" s="76"/>
      <c r="K743" s="76"/>
      <c r="L743" s="76"/>
      <c r="M743" s="80"/>
      <c r="N743" s="96"/>
    </row>
    <row r="744" customFormat="false" ht="22.5" hidden="false" customHeight="true" outlineLevel="0" collapsed="false">
      <c r="A744" s="94"/>
      <c r="B744" s="95"/>
      <c r="C744" s="84"/>
      <c r="D744" s="76"/>
      <c r="E744" s="77"/>
      <c r="F744" s="77"/>
      <c r="G744" s="78"/>
      <c r="H744" s="76" t="str">
        <f aca="true">IF(G744="","",IF(G744=1,"Completed",
IF(G744=0,"Not Started",
IF(AND(F744&lt;&gt;"",ISNUMBER(F744),F744&lt;TODAY()),"Delayed","In Progress")
)
)
)</f>
        <v/>
      </c>
      <c r="I744" s="76"/>
      <c r="J744" s="76"/>
      <c r="K744" s="76"/>
      <c r="L744" s="76"/>
      <c r="M744" s="80"/>
      <c r="N744" s="96"/>
    </row>
    <row r="745" customFormat="false" ht="22.5" hidden="false" customHeight="true" outlineLevel="0" collapsed="false">
      <c r="A745" s="94"/>
      <c r="B745" s="95"/>
      <c r="C745" s="84"/>
      <c r="D745" s="76"/>
      <c r="E745" s="77"/>
      <c r="F745" s="77"/>
      <c r="G745" s="78"/>
      <c r="H745" s="76" t="str">
        <f aca="true">IF(G745="","",IF(G745=1,"Completed",
IF(G745=0,"Not Started",
IF(AND(F745&lt;&gt;"",ISNUMBER(F745),F745&lt;TODAY()),"Delayed","In Progress")
)
)
)</f>
        <v/>
      </c>
      <c r="I745" s="76"/>
      <c r="J745" s="76"/>
      <c r="K745" s="76"/>
      <c r="L745" s="76"/>
      <c r="M745" s="80"/>
      <c r="N745" s="96"/>
    </row>
    <row r="746" customFormat="false" ht="22.5" hidden="false" customHeight="true" outlineLevel="0" collapsed="false">
      <c r="A746" s="94"/>
      <c r="B746" s="95"/>
      <c r="C746" s="84"/>
      <c r="D746" s="76"/>
      <c r="E746" s="77"/>
      <c r="F746" s="77"/>
      <c r="G746" s="78"/>
      <c r="H746" s="76" t="str">
        <f aca="true">IF(G746="","",IF(G746=1,"Completed",
IF(G746=0,"Not Started",
IF(AND(F746&lt;&gt;"",ISNUMBER(F746),F746&lt;TODAY()),"Delayed","In Progress")
)
)
)</f>
        <v/>
      </c>
      <c r="I746" s="76"/>
      <c r="J746" s="76"/>
      <c r="K746" s="76"/>
      <c r="L746" s="76"/>
      <c r="M746" s="80"/>
      <c r="N746" s="96"/>
    </row>
    <row r="747" customFormat="false" ht="22.5" hidden="false" customHeight="true" outlineLevel="0" collapsed="false">
      <c r="A747" s="94"/>
      <c r="B747" s="95"/>
      <c r="C747" s="84"/>
      <c r="D747" s="76"/>
      <c r="E747" s="77"/>
      <c r="F747" s="77"/>
      <c r="G747" s="78"/>
      <c r="H747" s="76" t="str">
        <f aca="true">IF(G747="","",IF(G747=1,"Completed",
IF(G747=0,"Not Started",
IF(AND(F747&lt;&gt;"",ISNUMBER(F747),F747&lt;TODAY()),"Delayed","In Progress")
)
)
)</f>
        <v/>
      </c>
      <c r="I747" s="76"/>
      <c r="J747" s="76"/>
      <c r="K747" s="76"/>
      <c r="L747" s="76"/>
      <c r="M747" s="80"/>
      <c r="N747" s="96"/>
    </row>
    <row r="748" customFormat="false" ht="22.5" hidden="false" customHeight="true" outlineLevel="0" collapsed="false">
      <c r="A748" s="94"/>
      <c r="B748" s="95"/>
      <c r="C748" s="84"/>
      <c r="D748" s="76"/>
      <c r="E748" s="77"/>
      <c r="F748" s="77"/>
      <c r="G748" s="78"/>
      <c r="H748" s="76" t="str">
        <f aca="true">IF(G748="","",IF(G748=1,"Completed",
IF(G748=0,"Not Started",
IF(AND(F748&lt;&gt;"",ISNUMBER(F748),F748&lt;TODAY()),"Delayed","In Progress")
)
)
)</f>
        <v/>
      </c>
      <c r="I748" s="76"/>
      <c r="J748" s="76"/>
      <c r="K748" s="76"/>
      <c r="L748" s="76"/>
      <c r="M748" s="80"/>
      <c r="N748" s="96"/>
    </row>
    <row r="749" customFormat="false" ht="22.5" hidden="false" customHeight="true" outlineLevel="0" collapsed="false">
      <c r="A749" s="94"/>
      <c r="B749" s="95"/>
      <c r="C749" s="84"/>
      <c r="D749" s="76"/>
      <c r="E749" s="77"/>
      <c r="F749" s="77"/>
      <c r="G749" s="78"/>
      <c r="H749" s="76" t="str">
        <f aca="true">IF(G749="","",IF(G749=1,"Completed",
IF(G749=0,"Not Started",
IF(AND(F749&lt;&gt;"",ISNUMBER(F749),F749&lt;TODAY()),"Delayed","In Progress")
)
)
)</f>
        <v/>
      </c>
      <c r="I749" s="76"/>
      <c r="J749" s="76"/>
      <c r="K749" s="76"/>
      <c r="L749" s="76"/>
      <c r="M749" s="80"/>
      <c r="N749" s="96"/>
    </row>
    <row r="750" customFormat="false" ht="22.5" hidden="false" customHeight="true" outlineLevel="0" collapsed="false">
      <c r="A750" s="94"/>
      <c r="B750" s="95"/>
      <c r="C750" s="84"/>
      <c r="D750" s="76"/>
      <c r="E750" s="77"/>
      <c r="F750" s="77"/>
      <c r="G750" s="78"/>
      <c r="H750" s="76" t="str">
        <f aca="true">IF(G750="","",IF(G750=1,"Completed",
IF(G750=0,"Not Started",
IF(AND(F750&lt;&gt;"",ISNUMBER(F750),F750&lt;TODAY()),"Delayed","In Progress")
)
)
)</f>
        <v/>
      </c>
      <c r="I750" s="76"/>
      <c r="J750" s="76"/>
      <c r="K750" s="76"/>
      <c r="L750" s="76"/>
      <c r="M750" s="80"/>
      <c r="N750" s="96"/>
    </row>
    <row r="751" customFormat="false" ht="22.5" hidden="false" customHeight="true" outlineLevel="0" collapsed="false">
      <c r="A751" s="94"/>
      <c r="B751" s="95"/>
      <c r="C751" s="84"/>
      <c r="D751" s="76"/>
      <c r="E751" s="77"/>
      <c r="F751" s="77"/>
      <c r="G751" s="78"/>
      <c r="H751" s="76" t="str">
        <f aca="true">IF(G751="","",IF(G751=1,"Completed",
IF(G751=0,"Not Started",
IF(AND(F751&lt;&gt;"",ISNUMBER(F751),F751&lt;TODAY()),"Delayed","In Progress")
)
)
)</f>
        <v/>
      </c>
      <c r="I751" s="76"/>
      <c r="J751" s="76"/>
      <c r="K751" s="76"/>
      <c r="L751" s="76"/>
      <c r="M751" s="80"/>
      <c r="N751" s="96"/>
    </row>
    <row r="752" customFormat="false" ht="22.5" hidden="false" customHeight="true" outlineLevel="0" collapsed="false">
      <c r="A752" s="94"/>
      <c r="B752" s="95"/>
      <c r="C752" s="84"/>
      <c r="D752" s="76"/>
      <c r="E752" s="77"/>
      <c r="F752" s="77"/>
      <c r="G752" s="78"/>
      <c r="H752" s="76" t="str">
        <f aca="true">IF(G752="","",IF(G752=1,"Completed",
IF(G752=0,"Not Started",
IF(AND(F752&lt;&gt;"",ISNUMBER(F752),F752&lt;TODAY()),"Delayed","In Progress")
)
)
)</f>
        <v/>
      </c>
      <c r="I752" s="76"/>
      <c r="J752" s="76"/>
      <c r="K752" s="76"/>
      <c r="L752" s="76"/>
      <c r="M752" s="80"/>
      <c r="N752" s="96"/>
    </row>
    <row r="753" customFormat="false" ht="22.5" hidden="false" customHeight="true" outlineLevel="0" collapsed="false">
      <c r="A753" s="94"/>
      <c r="B753" s="95"/>
      <c r="C753" s="84"/>
      <c r="D753" s="76"/>
      <c r="E753" s="77"/>
      <c r="F753" s="77"/>
      <c r="G753" s="78"/>
      <c r="H753" s="76" t="str">
        <f aca="true">IF(G753="","",IF(G753=1,"Completed",
IF(G753=0,"Not Started",
IF(AND(F753&lt;&gt;"",ISNUMBER(F753),F753&lt;TODAY()),"Delayed","In Progress")
)
)
)</f>
        <v/>
      </c>
      <c r="I753" s="76"/>
      <c r="J753" s="76"/>
      <c r="K753" s="76"/>
      <c r="L753" s="76"/>
      <c r="M753" s="80"/>
      <c r="N753" s="96"/>
    </row>
    <row r="754" customFormat="false" ht="22.5" hidden="false" customHeight="true" outlineLevel="0" collapsed="false">
      <c r="A754" s="94"/>
      <c r="B754" s="95"/>
      <c r="C754" s="84"/>
      <c r="D754" s="76"/>
      <c r="E754" s="77"/>
      <c r="F754" s="77"/>
      <c r="G754" s="78"/>
      <c r="H754" s="76" t="str">
        <f aca="true">IF(G754="","",IF(G754=1,"Completed",
IF(G754=0,"Not Started",
IF(AND(F754&lt;&gt;"",ISNUMBER(F754),F754&lt;TODAY()),"Delayed","In Progress")
)
)
)</f>
        <v/>
      </c>
      <c r="I754" s="76"/>
      <c r="J754" s="76"/>
      <c r="K754" s="76"/>
      <c r="L754" s="76"/>
      <c r="M754" s="80"/>
      <c r="N754" s="96"/>
    </row>
    <row r="755" customFormat="false" ht="22.5" hidden="false" customHeight="true" outlineLevel="0" collapsed="false">
      <c r="A755" s="94"/>
      <c r="B755" s="95"/>
      <c r="C755" s="84"/>
      <c r="D755" s="76"/>
      <c r="E755" s="77"/>
      <c r="F755" s="77"/>
      <c r="G755" s="78"/>
      <c r="H755" s="76" t="str">
        <f aca="true">IF(G755="","",IF(G755=1,"Completed",
IF(G755=0,"Not Started",
IF(AND(F755&lt;&gt;"",ISNUMBER(F755),F755&lt;TODAY()),"Delayed","In Progress")
)
)
)</f>
        <v/>
      </c>
      <c r="I755" s="76"/>
      <c r="J755" s="76"/>
      <c r="K755" s="76"/>
      <c r="L755" s="76"/>
      <c r="M755" s="80"/>
      <c r="N755" s="96"/>
    </row>
    <row r="756" customFormat="false" ht="22.5" hidden="false" customHeight="true" outlineLevel="0" collapsed="false">
      <c r="A756" s="94"/>
      <c r="B756" s="95"/>
      <c r="C756" s="84"/>
      <c r="D756" s="76"/>
      <c r="E756" s="77"/>
      <c r="F756" s="77"/>
      <c r="G756" s="78"/>
      <c r="H756" s="76" t="str">
        <f aca="true">IF(G756="","",IF(G756=1,"Completed",
IF(G756=0,"Not Started",
IF(AND(F756&lt;&gt;"",ISNUMBER(F756),F756&lt;TODAY()),"Delayed","In Progress")
)
)
)</f>
        <v/>
      </c>
      <c r="I756" s="76"/>
      <c r="J756" s="76"/>
      <c r="K756" s="76"/>
      <c r="L756" s="76"/>
      <c r="M756" s="80"/>
      <c r="N756" s="96"/>
    </row>
    <row r="757" customFormat="false" ht="22.5" hidden="false" customHeight="true" outlineLevel="0" collapsed="false">
      <c r="A757" s="94"/>
      <c r="B757" s="95"/>
      <c r="C757" s="84"/>
      <c r="D757" s="76"/>
      <c r="E757" s="77"/>
      <c r="F757" s="77"/>
      <c r="G757" s="78"/>
      <c r="H757" s="76" t="str">
        <f aca="true">IF(G757="","",IF(G757=1,"Completed",
IF(G757=0,"Not Started",
IF(AND(F757&lt;&gt;"",ISNUMBER(F757),F757&lt;TODAY()),"Delayed","In Progress")
)
)
)</f>
        <v/>
      </c>
      <c r="I757" s="76"/>
      <c r="J757" s="76"/>
      <c r="K757" s="76"/>
      <c r="L757" s="76"/>
      <c r="M757" s="80"/>
      <c r="N757" s="96"/>
    </row>
    <row r="758" customFormat="false" ht="22.5" hidden="false" customHeight="true" outlineLevel="0" collapsed="false">
      <c r="A758" s="94"/>
      <c r="B758" s="95"/>
      <c r="C758" s="84"/>
      <c r="D758" s="76"/>
      <c r="E758" s="77"/>
      <c r="F758" s="77"/>
      <c r="G758" s="78"/>
      <c r="H758" s="76" t="str">
        <f aca="true">IF(G758="","",IF(G758=1,"Completed",
IF(G758=0,"Not Started",
IF(AND(F758&lt;&gt;"",ISNUMBER(F758),F758&lt;TODAY()),"Delayed","In Progress")
)
)
)</f>
        <v/>
      </c>
      <c r="I758" s="76"/>
      <c r="J758" s="76"/>
      <c r="K758" s="76"/>
      <c r="L758" s="76"/>
      <c r="M758" s="80"/>
      <c r="N758" s="96"/>
    </row>
    <row r="759" customFormat="false" ht="22.5" hidden="false" customHeight="true" outlineLevel="0" collapsed="false">
      <c r="A759" s="94"/>
      <c r="B759" s="95"/>
      <c r="C759" s="84"/>
      <c r="D759" s="76"/>
      <c r="E759" s="77"/>
      <c r="F759" s="77"/>
      <c r="G759" s="78"/>
      <c r="H759" s="76" t="str">
        <f aca="true">IF(G759="","",IF(G759=1,"Completed",
IF(G759=0,"Not Started",
IF(AND(F759&lt;&gt;"",ISNUMBER(F759),F759&lt;TODAY()),"Delayed","In Progress")
)
)
)</f>
        <v/>
      </c>
      <c r="I759" s="76"/>
      <c r="J759" s="76"/>
      <c r="K759" s="76"/>
      <c r="L759" s="76"/>
      <c r="M759" s="80"/>
      <c r="N759" s="96"/>
    </row>
    <row r="760" customFormat="false" ht="22.5" hidden="false" customHeight="true" outlineLevel="0" collapsed="false">
      <c r="A760" s="94"/>
      <c r="B760" s="95"/>
      <c r="C760" s="84"/>
      <c r="D760" s="76"/>
      <c r="E760" s="77"/>
      <c r="F760" s="77"/>
      <c r="G760" s="78"/>
      <c r="H760" s="76" t="str">
        <f aca="true">IF(G760="","",IF(G760=1,"Completed",
IF(G760=0,"Not Started",
IF(AND(F760&lt;&gt;"",ISNUMBER(F760),F760&lt;TODAY()),"Delayed","In Progress")
)
)
)</f>
        <v/>
      </c>
      <c r="I760" s="76"/>
      <c r="J760" s="76"/>
      <c r="K760" s="76"/>
      <c r="L760" s="76"/>
      <c r="M760" s="80"/>
      <c r="N760" s="96"/>
    </row>
    <row r="761" customFormat="false" ht="22.5" hidden="false" customHeight="true" outlineLevel="0" collapsed="false">
      <c r="A761" s="94"/>
      <c r="B761" s="95"/>
      <c r="C761" s="84"/>
      <c r="D761" s="76"/>
      <c r="E761" s="77"/>
      <c r="F761" s="77"/>
      <c r="G761" s="78"/>
      <c r="H761" s="76" t="str">
        <f aca="true">IF(G761="","",IF(G761=1,"Completed",
IF(G761=0,"Not Started",
IF(AND(F761&lt;&gt;"",ISNUMBER(F761),F761&lt;TODAY()),"Delayed","In Progress")
)
)
)</f>
        <v/>
      </c>
      <c r="I761" s="76"/>
      <c r="J761" s="76"/>
      <c r="K761" s="76"/>
      <c r="L761" s="76"/>
      <c r="M761" s="80"/>
      <c r="N761" s="96"/>
    </row>
    <row r="762" customFormat="false" ht="22.5" hidden="false" customHeight="true" outlineLevel="0" collapsed="false">
      <c r="A762" s="94"/>
      <c r="B762" s="95"/>
      <c r="C762" s="84"/>
      <c r="D762" s="76"/>
      <c r="E762" s="77"/>
      <c r="F762" s="77"/>
      <c r="G762" s="78"/>
      <c r="H762" s="76" t="str">
        <f aca="true">IF(G762="","",IF(G762=1,"Completed",
IF(G762=0,"Not Started",
IF(AND(F762&lt;&gt;"",ISNUMBER(F762),F762&lt;TODAY()),"Delayed","In Progress")
)
)
)</f>
        <v/>
      </c>
      <c r="I762" s="76"/>
      <c r="J762" s="76"/>
      <c r="K762" s="76"/>
      <c r="L762" s="76"/>
      <c r="M762" s="80"/>
      <c r="N762" s="96"/>
    </row>
    <row r="763" customFormat="false" ht="22.5" hidden="false" customHeight="true" outlineLevel="0" collapsed="false">
      <c r="A763" s="94"/>
      <c r="B763" s="95"/>
      <c r="C763" s="84"/>
      <c r="D763" s="76"/>
      <c r="E763" s="77"/>
      <c r="F763" s="77"/>
      <c r="G763" s="78"/>
      <c r="H763" s="76" t="str">
        <f aca="true">IF(G763="","",IF(G763=1,"Completed",
IF(G763=0,"Not Started",
IF(AND(F763&lt;&gt;"",ISNUMBER(F763),F763&lt;TODAY()),"Delayed","In Progress")
)
)
)</f>
        <v/>
      </c>
      <c r="I763" s="76"/>
      <c r="J763" s="76"/>
      <c r="K763" s="76"/>
      <c r="L763" s="76"/>
      <c r="M763" s="80"/>
      <c r="N763" s="96"/>
    </row>
    <row r="764" customFormat="false" ht="22.5" hidden="false" customHeight="true" outlineLevel="0" collapsed="false">
      <c r="A764" s="94"/>
      <c r="B764" s="95"/>
      <c r="C764" s="84"/>
      <c r="D764" s="76"/>
      <c r="E764" s="77"/>
      <c r="F764" s="77"/>
      <c r="G764" s="78"/>
      <c r="H764" s="76" t="str">
        <f aca="true">IF(G764="","",IF(G764=1,"Completed",
IF(G764=0,"Not Started",
IF(AND(F764&lt;&gt;"",ISNUMBER(F764),F764&lt;TODAY()),"Delayed","In Progress")
)
)
)</f>
        <v/>
      </c>
      <c r="I764" s="76"/>
      <c r="J764" s="76"/>
      <c r="K764" s="76"/>
      <c r="L764" s="76"/>
      <c r="M764" s="80"/>
      <c r="N764" s="96"/>
    </row>
    <row r="765" customFormat="false" ht="22.5" hidden="false" customHeight="true" outlineLevel="0" collapsed="false">
      <c r="A765" s="94"/>
      <c r="B765" s="95"/>
      <c r="C765" s="84"/>
      <c r="D765" s="76"/>
      <c r="E765" s="77"/>
      <c r="F765" s="77"/>
      <c r="G765" s="78"/>
      <c r="H765" s="76" t="str">
        <f aca="true">IF(G765="","",IF(G765=1,"Completed",
IF(G765=0,"Not Started",
IF(AND(F765&lt;&gt;"",ISNUMBER(F765),F765&lt;TODAY()),"Delayed","In Progress")
)
)
)</f>
        <v/>
      </c>
      <c r="I765" s="76"/>
      <c r="J765" s="76"/>
      <c r="K765" s="76"/>
      <c r="L765" s="76"/>
      <c r="M765" s="80"/>
      <c r="N765" s="96"/>
    </row>
    <row r="766" customFormat="false" ht="22.5" hidden="false" customHeight="true" outlineLevel="0" collapsed="false">
      <c r="A766" s="94"/>
      <c r="B766" s="95"/>
      <c r="C766" s="84"/>
      <c r="D766" s="76"/>
      <c r="E766" s="77"/>
      <c r="F766" s="77"/>
      <c r="G766" s="78"/>
      <c r="H766" s="76" t="str">
        <f aca="true">IF(G766="","",IF(G766=1,"Completed",
IF(G766=0,"Not Started",
IF(AND(F766&lt;&gt;"",ISNUMBER(F766),F766&lt;TODAY()),"Delayed","In Progress")
)
)
)</f>
        <v/>
      </c>
      <c r="I766" s="76"/>
      <c r="J766" s="76"/>
      <c r="K766" s="76"/>
      <c r="L766" s="76"/>
      <c r="M766" s="80"/>
      <c r="N766" s="96"/>
    </row>
    <row r="767" customFormat="false" ht="22.5" hidden="false" customHeight="true" outlineLevel="0" collapsed="false">
      <c r="A767" s="94"/>
      <c r="B767" s="95"/>
      <c r="C767" s="84"/>
      <c r="D767" s="76"/>
      <c r="E767" s="77"/>
      <c r="F767" s="77"/>
      <c r="G767" s="78"/>
      <c r="H767" s="76" t="str">
        <f aca="true">IF(G767="","",IF(G767=1,"Completed",
IF(G767=0,"Not Started",
IF(AND(F767&lt;&gt;"",ISNUMBER(F767),F767&lt;TODAY()),"Delayed","In Progress")
)
)
)</f>
        <v/>
      </c>
      <c r="I767" s="76"/>
      <c r="J767" s="76"/>
      <c r="K767" s="76"/>
      <c r="L767" s="76"/>
      <c r="M767" s="80"/>
      <c r="N767" s="96"/>
    </row>
    <row r="768" customFormat="false" ht="22.5" hidden="false" customHeight="true" outlineLevel="0" collapsed="false">
      <c r="A768" s="94"/>
      <c r="B768" s="95"/>
      <c r="C768" s="84"/>
      <c r="D768" s="76"/>
      <c r="E768" s="77"/>
      <c r="F768" s="77"/>
      <c r="G768" s="78"/>
      <c r="H768" s="76" t="str">
        <f aca="true">IF(G768="","",IF(G768=1,"Completed",
IF(G768=0,"Not Started",
IF(AND(F768&lt;&gt;"",ISNUMBER(F768),F768&lt;TODAY()),"Delayed","In Progress")
)
)
)</f>
        <v/>
      </c>
      <c r="I768" s="76"/>
      <c r="J768" s="76"/>
      <c r="K768" s="76"/>
      <c r="L768" s="76"/>
      <c r="M768" s="80"/>
      <c r="N768" s="96"/>
    </row>
    <row r="769" customFormat="false" ht="22.5" hidden="false" customHeight="true" outlineLevel="0" collapsed="false">
      <c r="A769" s="94"/>
      <c r="B769" s="95"/>
      <c r="C769" s="84"/>
      <c r="D769" s="76"/>
      <c r="E769" s="77"/>
      <c r="F769" s="77"/>
      <c r="G769" s="78"/>
      <c r="H769" s="76" t="str">
        <f aca="true">IF(G769="","",IF(G769=1,"Completed",
IF(G769=0,"Not Started",
IF(AND(F769&lt;&gt;"",ISNUMBER(F769),F769&lt;TODAY()),"Delayed","In Progress")
)
)
)</f>
        <v/>
      </c>
      <c r="I769" s="76"/>
      <c r="J769" s="76"/>
      <c r="K769" s="76"/>
      <c r="L769" s="76"/>
      <c r="M769" s="80"/>
      <c r="N769" s="96"/>
    </row>
    <row r="770" customFormat="false" ht="22.5" hidden="false" customHeight="true" outlineLevel="0" collapsed="false">
      <c r="A770" s="94"/>
      <c r="B770" s="95"/>
      <c r="C770" s="84"/>
      <c r="D770" s="76"/>
      <c r="E770" s="77"/>
      <c r="F770" s="77"/>
      <c r="G770" s="78"/>
      <c r="H770" s="76" t="str">
        <f aca="true">IF(G770="","",IF(G770=1,"Completed",
IF(G770=0,"Not Started",
IF(AND(F770&lt;&gt;"",ISNUMBER(F770),F770&lt;TODAY()),"Delayed","In Progress")
)
)
)</f>
        <v/>
      </c>
      <c r="I770" s="76"/>
      <c r="J770" s="76"/>
      <c r="K770" s="76"/>
      <c r="L770" s="76"/>
      <c r="M770" s="80"/>
      <c r="N770" s="96"/>
    </row>
    <row r="771" customFormat="false" ht="22.5" hidden="false" customHeight="true" outlineLevel="0" collapsed="false">
      <c r="A771" s="94"/>
      <c r="B771" s="95"/>
      <c r="C771" s="84"/>
      <c r="D771" s="76"/>
      <c r="E771" s="77"/>
      <c r="F771" s="77"/>
      <c r="G771" s="78"/>
      <c r="H771" s="76" t="str">
        <f aca="true">IF(G771="","",IF(G771=1,"Completed",
IF(G771=0,"Not Started",
IF(AND(F771&lt;&gt;"",ISNUMBER(F771),F771&lt;TODAY()),"Delayed","In Progress")
)
)
)</f>
        <v/>
      </c>
      <c r="I771" s="76"/>
      <c r="J771" s="76"/>
      <c r="K771" s="76"/>
      <c r="L771" s="76"/>
      <c r="M771" s="80"/>
      <c r="N771" s="96"/>
    </row>
    <row r="772" customFormat="false" ht="22.5" hidden="false" customHeight="true" outlineLevel="0" collapsed="false">
      <c r="A772" s="94"/>
      <c r="B772" s="95"/>
      <c r="C772" s="84"/>
      <c r="D772" s="76"/>
      <c r="E772" s="77"/>
      <c r="F772" s="77"/>
      <c r="G772" s="78"/>
      <c r="H772" s="76" t="str">
        <f aca="true">IF(G772="","",IF(G772=1,"Completed",
IF(G772=0,"Not Started",
IF(AND(F772&lt;&gt;"",ISNUMBER(F772),F772&lt;TODAY()),"Delayed","In Progress")
)
)
)</f>
        <v/>
      </c>
      <c r="I772" s="76"/>
      <c r="J772" s="76"/>
      <c r="K772" s="76"/>
      <c r="L772" s="76"/>
      <c r="M772" s="80"/>
      <c r="N772" s="96"/>
    </row>
    <row r="773" customFormat="false" ht="22.5" hidden="false" customHeight="true" outlineLevel="0" collapsed="false">
      <c r="A773" s="94"/>
      <c r="B773" s="95"/>
      <c r="C773" s="84"/>
      <c r="D773" s="76"/>
      <c r="E773" s="77"/>
      <c r="F773" s="77"/>
      <c r="G773" s="78"/>
      <c r="H773" s="76" t="str">
        <f aca="true">IF(G773="","",IF(G773=1,"Completed",
IF(G773=0,"Not Started",
IF(AND(F773&lt;&gt;"",ISNUMBER(F773),F773&lt;TODAY()),"Delayed","In Progress")
)
)
)</f>
        <v/>
      </c>
      <c r="I773" s="76"/>
      <c r="J773" s="76"/>
      <c r="K773" s="76"/>
      <c r="L773" s="76"/>
      <c r="M773" s="80"/>
      <c r="N773" s="96"/>
    </row>
    <row r="774" customFormat="false" ht="22.5" hidden="false" customHeight="true" outlineLevel="0" collapsed="false">
      <c r="A774" s="94"/>
      <c r="B774" s="95"/>
      <c r="C774" s="84"/>
      <c r="D774" s="76"/>
      <c r="E774" s="77"/>
      <c r="F774" s="77"/>
      <c r="G774" s="78"/>
      <c r="H774" s="76" t="str">
        <f aca="true">IF(G774="","",IF(G774=1,"Completed",
  IF(G774=0,"Not Started",
   IF(AND(F774&lt;&gt;"",ISNUMBER(F774),F774&lt;TODAY()),"Delayed","In Progress")
  )
 )
)</f>
        <v/>
      </c>
      <c r="I774" s="76"/>
      <c r="J774" s="76"/>
      <c r="K774" s="76"/>
      <c r="L774" s="76"/>
      <c r="M774" s="80"/>
      <c r="N774" s="96"/>
    </row>
    <row r="775" customFormat="false" ht="22.5" hidden="false" customHeight="true" outlineLevel="0" collapsed="false">
      <c r="A775" s="94"/>
      <c r="B775" s="95"/>
      <c r="C775" s="84"/>
      <c r="D775" s="76"/>
      <c r="E775" s="77"/>
      <c r="F775" s="77"/>
      <c r="G775" s="78"/>
      <c r="H775" s="76" t="str">
        <f aca="true">IF(G775="","",IF(G775=1,"Completed",
IF(G775=0,"Not Started",
IF(AND(F775&lt;&gt;"",ISNUMBER(F775),F775&lt;TODAY()),"Delayed","In Progress")
)
)
)</f>
        <v/>
      </c>
      <c r="I775" s="76"/>
      <c r="J775" s="76"/>
      <c r="K775" s="76"/>
      <c r="L775" s="76"/>
      <c r="M775" s="80"/>
      <c r="N775" s="96"/>
    </row>
    <row r="776" customFormat="false" ht="22.5" hidden="false" customHeight="true" outlineLevel="0" collapsed="false">
      <c r="A776" s="94"/>
      <c r="B776" s="95"/>
      <c r="C776" s="84"/>
      <c r="D776" s="76"/>
      <c r="E776" s="77"/>
      <c r="F776" s="77"/>
      <c r="G776" s="78"/>
      <c r="H776" s="76" t="str">
        <f aca="true">IF(G776="","",IF(G776=1,"Completed",
IF(G776=0,"Not Started",
IF(AND(F776&lt;&gt;"",ISNUMBER(F776),F776&lt;TODAY()),"Delayed","In Progress")
)
)
)</f>
        <v/>
      </c>
      <c r="I776" s="76"/>
      <c r="J776" s="76"/>
      <c r="K776" s="76"/>
      <c r="L776" s="76"/>
      <c r="M776" s="80"/>
      <c r="N776" s="96"/>
    </row>
    <row r="777" customFormat="false" ht="22.5" hidden="false" customHeight="true" outlineLevel="0" collapsed="false">
      <c r="A777" s="94"/>
      <c r="B777" s="95"/>
      <c r="C777" s="84"/>
      <c r="D777" s="76"/>
      <c r="E777" s="77"/>
      <c r="F777" s="77"/>
      <c r="G777" s="78"/>
      <c r="H777" s="76" t="str">
        <f aca="true">IF(G777="","",IF(G777=1,"Completed",
IF(G777=0,"Not Started",
IF(AND(F777&lt;&gt;"",ISNUMBER(F777),F777&lt;TODAY()),"Delayed","In Progress")
)
)
)</f>
        <v/>
      </c>
      <c r="I777" s="76"/>
      <c r="J777" s="76"/>
      <c r="K777" s="76"/>
      <c r="L777" s="76"/>
      <c r="M777" s="80"/>
      <c r="N777" s="96"/>
    </row>
    <row r="778" customFormat="false" ht="22.5" hidden="false" customHeight="true" outlineLevel="0" collapsed="false">
      <c r="A778" s="94"/>
      <c r="B778" s="95"/>
      <c r="C778" s="84"/>
      <c r="D778" s="76"/>
      <c r="E778" s="77"/>
      <c r="F778" s="77"/>
      <c r="G778" s="78"/>
      <c r="H778" s="76" t="str">
        <f aca="true">IF(G778="","",IF(G778=1,"Completed",
IF(G778=0,"Not Started",
IF(AND(F778&lt;&gt;"",ISNUMBER(F778),F778&lt;TODAY()),"Delayed","In Progress")
)
)
)</f>
        <v/>
      </c>
      <c r="I778" s="76"/>
      <c r="J778" s="76"/>
      <c r="K778" s="76"/>
      <c r="L778" s="76"/>
      <c r="M778" s="80"/>
      <c r="N778" s="96"/>
    </row>
    <row r="779" customFormat="false" ht="22.5" hidden="false" customHeight="true" outlineLevel="0" collapsed="false">
      <c r="A779" s="94"/>
      <c r="B779" s="95"/>
      <c r="C779" s="84"/>
      <c r="D779" s="76"/>
      <c r="E779" s="77"/>
      <c r="F779" s="77"/>
      <c r="G779" s="78"/>
      <c r="H779" s="76" t="str">
        <f aca="true">IF(G779="","",IF(G779=1,"Completed",
IF(G779=0,"Not Started",
IF(AND(F779&lt;&gt;"",ISNUMBER(F779),F779&lt;TODAY()),"Delayed","In Progress")
)
)
)</f>
        <v/>
      </c>
      <c r="I779" s="76"/>
      <c r="J779" s="76"/>
      <c r="K779" s="76"/>
      <c r="L779" s="76"/>
      <c r="M779" s="80"/>
      <c r="N779" s="96"/>
    </row>
    <row r="780" customFormat="false" ht="22.5" hidden="false" customHeight="true" outlineLevel="0" collapsed="false">
      <c r="A780" s="94"/>
      <c r="B780" s="95"/>
      <c r="C780" s="84"/>
      <c r="D780" s="76"/>
      <c r="E780" s="77"/>
      <c r="F780" s="77"/>
      <c r="G780" s="78"/>
      <c r="H780" s="76" t="str">
        <f aca="true">IF(G780="","",IF(G780=1,"Completed",
IF(G780=0,"Not Started",
IF(AND(F780&lt;&gt;"",ISNUMBER(F780),F780&lt;TODAY()),"Delayed","In Progress")
)
)
)</f>
        <v/>
      </c>
      <c r="I780" s="76"/>
      <c r="J780" s="76"/>
      <c r="K780" s="76"/>
      <c r="L780" s="76"/>
      <c r="M780" s="80"/>
      <c r="N780" s="96"/>
    </row>
    <row r="781" customFormat="false" ht="22.5" hidden="false" customHeight="true" outlineLevel="0" collapsed="false">
      <c r="A781" s="94"/>
      <c r="B781" s="95"/>
      <c r="C781" s="84"/>
      <c r="D781" s="76"/>
      <c r="E781" s="77"/>
      <c r="F781" s="77"/>
      <c r="G781" s="78"/>
      <c r="H781" s="76" t="str">
        <f aca="true">IF(G781="","",IF(G781=1,"Completed",
IF(G781=0,"Not Started",
IF(AND(F781&lt;&gt;"",ISNUMBER(F781),F781&lt;TODAY()),"Delayed","In Progress")
)
)
)</f>
        <v/>
      </c>
      <c r="I781" s="76"/>
      <c r="J781" s="76"/>
      <c r="K781" s="76"/>
      <c r="L781" s="76"/>
      <c r="M781" s="80"/>
      <c r="N781" s="96"/>
    </row>
    <row r="782" customFormat="false" ht="22.5" hidden="false" customHeight="true" outlineLevel="0" collapsed="false">
      <c r="A782" s="94"/>
      <c r="B782" s="95"/>
      <c r="C782" s="84"/>
      <c r="D782" s="76"/>
      <c r="E782" s="77"/>
      <c r="F782" s="77"/>
      <c r="G782" s="78"/>
      <c r="H782" s="76" t="str">
        <f aca="true">IF(G782="","",IF(G782=1,"Completed",
IF(G782=0,"Not Started",
IF(AND(F782&lt;&gt;"",ISNUMBER(F782),F782&lt;TODAY()),"Delayed","In Progress")
)
)
)</f>
        <v/>
      </c>
      <c r="I782" s="76"/>
      <c r="J782" s="76"/>
      <c r="K782" s="76"/>
      <c r="L782" s="76"/>
      <c r="M782" s="80"/>
      <c r="N782" s="96"/>
    </row>
    <row r="783" customFormat="false" ht="22.5" hidden="false" customHeight="true" outlineLevel="0" collapsed="false">
      <c r="A783" s="94"/>
      <c r="B783" s="95"/>
      <c r="C783" s="84"/>
      <c r="D783" s="76"/>
      <c r="E783" s="77"/>
      <c r="F783" s="77"/>
      <c r="G783" s="78"/>
      <c r="H783" s="76" t="str">
        <f aca="true">IF(G783="","",IF(G783=1,"Completed",
IF(G783=0,"Not Started",
IF(AND(F783&lt;&gt;"",ISNUMBER(F783),F783&lt;TODAY()),"Delayed","In Progress")
)
)
)</f>
        <v/>
      </c>
      <c r="I783" s="76"/>
      <c r="J783" s="76"/>
      <c r="K783" s="76"/>
      <c r="L783" s="76"/>
      <c r="M783" s="80"/>
      <c r="N783" s="96"/>
    </row>
    <row r="784" customFormat="false" ht="22.5" hidden="false" customHeight="true" outlineLevel="0" collapsed="false">
      <c r="A784" s="94"/>
      <c r="B784" s="95"/>
      <c r="C784" s="84"/>
      <c r="D784" s="76"/>
      <c r="E784" s="77"/>
      <c r="F784" s="77"/>
      <c r="G784" s="78"/>
      <c r="H784" s="76" t="str">
        <f aca="true">IF(G784="","",IF(G784=1,"Completed",
IF(G784=0,"Not Started",
IF(AND(F784&lt;&gt;"",ISNUMBER(F784),F784&lt;TODAY()),"Delayed","In Progress")
)
)
)</f>
        <v/>
      </c>
      <c r="I784" s="76"/>
      <c r="J784" s="76"/>
      <c r="K784" s="76"/>
      <c r="L784" s="76"/>
      <c r="M784" s="80"/>
      <c r="N784" s="96"/>
    </row>
    <row r="785" customFormat="false" ht="22.5" hidden="false" customHeight="true" outlineLevel="0" collapsed="false">
      <c r="A785" s="94"/>
      <c r="B785" s="95"/>
      <c r="C785" s="84"/>
      <c r="D785" s="76"/>
      <c r="E785" s="77"/>
      <c r="F785" s="77"/>
      <c r="G785" s="78"/>
      <c r="H785" s="76" t="str">
        <f aca="true">IF(G785="","",IF(G785=1,"Completed",
IF(G785=0,"Not Started",
IF(AND(F785&lt;&gt;"",ISNUMBER(F785),F785&lt;TODAY()),"Delayed","In Progress")
)
)
)</f>
        <v/>
      </c>
      <c r="I785" s="76"/>
      <c r="J785" s="76"/>
      <c r="K785" s="76"/>
      <c r="L785" s="76"/>
      <c r="M785" s="80"/>
      <c r="N785" s="96"/>
    </row>
    <row r="786" customFormat="false" ht="22.5" hidden="false" customHeight="true" outlineLevel="0" collapsed="false">
      <c r="A786" s="94"/>
      <c r="B786" s="95"/>
      <c r="C786" s="84"/>
      <c r="D786" s="76"/>
      <c r="E786" s="77"/>
      <c r="F786" s="77"/>
      <c r="G786" s="78"/>
      <c r="H786" s="76" t="str">
        <f aca="true">IF(G786="","",IF(G786=1,"Completed",
IF(G786=0,"Not Started",
IF(AND(F786&lt;&gt;"",ISNUMBER(F786),F786&lt;TODAY()),"Delayed","In Progress")
)
)
)</f>
        <v/>
      </c>
      <c r="I786" s="76"/>
      <c r="J786" s="76"/>
      <c r="K786" s="76"/>
      <c r="L786" s="76"/>
      <c r="M786" s="80"/>
      <c r="N786" s="96"/>
    </row>
    <row r="787" customFormat="false" ht="22.5" hidden="false" customHeight="true" outlineLevel="0" collapsed="false">
      <c r="A787" s="94"/>
      <c r="B787" s="95"/>
      <c r="C787" s="84"/>
      <c r="D787" s="76"/>
      <c r="E787" s="77"/>
      <c r="F787" s="77"/>
      <c r="G787" s="78"/>
      <c r="H787" s="76" t="str">
        <f aca="true">IF(G787="","",IF(G787=1,"Completed",
IF(G787=0,"Not Started",
IF(AND(F787&lt;&gt;"",ISNUMBER(F787),F787&lt;TODAY()),"Delayed","In Progress")
)
)
)</f>
        <v/>
      </c>
      <c r="I787" s="76"/>
      <c r="J787" s="76"/>
      <c r="K787" s="76"/>
      <c r="L787" s="76"/>
      <c r="M787" s="80"/>
      <c r="N787" s="96"/>
    </row>
    <row r="788" customFormat="false" ht="22.5" hidden="false" customHeight="true" outlineLevel="0" collapsed="false">
      <c r="A788" s="94"/>
      <c r="B788" s="95"/>
      <c r="C788" s="84"/>
      <c r="D788" s="76"/>
      <c r="E788" s="77"/>
      <c r="F788" s="77"/>
      <c r="G788" s="78"/>
      <c r="H788" s="76" t="str">
        <f aca="true">IF(G788="","",IF(G788=1,"Completed",
IF(G788=0,"Not Started",
IF(AND(F788&lt;&gt;"",ISNUMBER(F788),F788&lt;TODAY()),"Delayed","In Progress")
)
)
)</f>
        <v/>
      </c>
      <c r="I788" s="76"/>
      <c r="J788" s="76"/>
      <c r="K788" s="76"/>
      <c r="L788" s="76"/>
      <c r="M788" s="80"/>
      <c r="N788" s="96"/>
    </row>
    <row r="789" customFormat="false" ht="22.5" hidden="false" customHeight="true" outlineLevel="0" collapsed="false">
      <c r="A789" s="94"/>
      <c r="B789" s="95"/>
      <c r="C789" s="84"/>
      <c r="D789" s="76"/>
      <c r="E789" s="77"/>
      <c r="F789" s="77"/>
      <c r="G789" s="78"/>
      <c r="H789" s="76" t="str">
        <f aca="true">IF(G789="","",IF(G789=1,"Completed",
IF(G789=0,"Not Started",
IF(AND(F789&lt;&gt;"",ISNUMBER(F789),F789&lt;TODAY()),"Delayed","In Progress")
)
)
)</f>
        <v/>
      </c>
      <c r="I789" s="76"/>
      <c r="J789" s="76"/>
      <c r="K789" s="76"/>
      <c r="L789" s="76"/>
      <c r="M789" s="80"/>
      <c r="N789" s="96"/>
    </row>
    <row r="790" customFormat="false" ht="22.5" hidden="false" customHeight="true" outlineLevel="0" collapsed="false">
      <c r="A790" s="94"/>
      <c r="B790" s="95"/>
      <c r="C790" s="84"/>
      <c r="D790" s="76"/>
      <c r="E790" s="77"/>
      <c r="F790" s="77"/>
      <c r="G790" s="78"/>
      <c r="H790" s="76" t="str">
        <f aca="true">IF(G790="","",IF(G790=1,"Completed",
IF(G790=0,"Not Started",
IF(AND(F790&lt;&gt;"",ISNUMBER(F790),F790&lt;TODAY()),"Delayed","In Progress")
)
)
)</f>
        <v/>
      </c>
      <c r="I790" s="76"/>
      <c r="J790" s="76"/>
      <c r="K790" s="76"/>
      <c r="L790" s="76"/>
      <c r="M790" s="80"/>
      <c r="N790" s="96"/>
    </row>
    <row r="791" customFormat="false" ht="22.5" hidden="false" customHeight="true" outlineLevel="0" collapsed="false">
      <c r="A791" s="94"/>
      <c r="B791" s="95"/>
      <c r="C791" s="84"/>
      <c r="D791" s="76"/>
      <c r="E791" s="77"/>
      <c r="F791" s="77"/>
      <c r="G791" s="78"/>
      <c r="H791" s="76" t="str">
        <f aca="true">IF(G791="","",IF(G791=1,"Completed",
IF(G791=0,"Not Started",
IF(AND(F791&lt;&gt;"",ISNUMBER(F791),F791&lt;TODAY()),"Delayed","In Progress")
)
)
)</f>
        <v/>
      </c>
      <c r="I791" s="76"/>
      <c r="J791" s="76"/>
      <c r="K791" s="76"/>
      <c r="L791" s="76"/>
      <c r="M791" s="80"/>
      <c r="N791" s="96"/>
    </row>
    <row r="792" customFormat="false" ht="22.5" hidden="false" customHeight="true" outlineLevel="0" collapsed="false">
      <c r="A792" s="94"/>
      <c r="B792" s="95"/>
      <c r="C792" s="84"/>
      <c r="D792" s="76"/>
      <c r="E792" s="77"/>
      <c r="F792" s="77"/>
      <c r="G792" s="78"/>
      <c r="H792" s="76" t="str">
        <f aca="true">IF(G792="","",IF(G792=1,"Completed",
IF(G792=0,"Not Started",
IF(AND(F792&lt;&gt;"",ISNUMBER(F792),F792&lt;TODAY()),"Delayed","In Progress")
)
)
)</f>
        <v/>
      </c>
      <c r="I792" s="76"/>
      <c r="J792" s="76"/>
      <c r="K792" s="76"/>
      <c r="L792" s="76"/>
      <c r="M792" s="80"/>
      <c r="N792" s="96"/>
    </row>
    <row r="793" customFormat="false" ht="22.5" hidden="false" customHeight="true" outlineLevel="0" collapsed="false">
      <c r="A793" s="94"/>
      <c r="B793" s="95"/>
      <c r="C793" s="84"/>
      <c r="D793" s="76"/>
      <c r="E793" s="77"/>
      <c r="F793" s="77"/>
      <c r="G793" s="78"/>
      <c r="H793" s="76" t="str">
        <f aca="true">IF(G793="","",IF(G793=1,"Completed",
IF(G793=0,"Not Started",
IF(AND(F793&lt;&gt;"",ISNUMBER(F793),F793&lt;TODAY()),"Delayed","In Progress")
)
)
)</f>
        <v/>
      </c>
      <c r="I793" s="76"/>
      <c r="J793" s="76"/>
      <c r="K793" s="76"/>
      <c r="L793" s="76"/>
      <c r="M793" s="80"/>
      <c r="N793" s="96"/>
    </row>
    <row r="794" customFormat="false" ht="22.5" hidden="false" customHeight="true" outlineLevel="0" collapsed="false">
      <c r="A794" s="94"/>
      <c r="B794" s="95"/>
      <c r="C794" s="84"/>
      <c r="D794" s="76"/>
      <c r="E794" s="77"/>
      <c r="F794" s="77"/>
      <c r="G794" s="78"/>
      <c r="H794" s="76" t="str">
        <f aca="true">IF(G794="","",IF(G794=1,"Completed",
IF(G794=0,"Not Started",
IF(AND(F794&lt;&gt;"",ISNUMBER(F794),F794&lt;TODAY()),"Delayed","In Progress")
)
)
)</f>
        <v/>
      </c>
      <c r="I794" s="76"/>
      <c r="J794" s="76"/>
      <c r="K794" s="76"/>
      <c r="L794" s="76"/>
      <c r="M794" s="80"/>
      <c r="N794" s="96"/>
    </row>
    <row r="795" customFormat="false" ht="22.5" hidden="false" customHeight="true" outlineLevel="0" collapsed="false">
      <c r="A795" s="94"/>
      <c r="B795" s="95"/>
      <c r="C795" s="84"/>
      <c r="D795" s="76"/>
      <c r="E795" s="77"/>
      <c r="F795" s="77"/>
      <c r="G795" s="78"/>
      <c r="H795" s="76" t="str">
        <f aca="true">IF(G795="","",IF(G795=1,"Completed",
IF(G795=0,"Not Started",
IF(AND(F795&lt;&gt;"",ISNUMBER(F795),F795&lt;TODAY()),"Delayed","In Progress")
)
)
)</f>
        <v/>
      </c>
      <c r="I795" s="76"/>
      <c r="J795" s="76"/>
      <c r="K795" s="76"/>
      <c r="L795" s="76"/>
      <c r="M795" s="80"/>
      <c r="N795" s="96"/>
    </row>
    <row r="796" customFormat="false" ht="22.5" hidden="false" customHeight="true" outlineLevel="0" collapsed="false">
      <c r="A796" s="94"/>
      <c r="B796" s="95"/>
      <c r="C796" s="84"/>
      <c r="D796" s="76"/>
      <c r="E796" s="77"/>
      <c r="F796" s="77"/>
      <c r="G796" s="78"/>
      <c r="H796" s="76" t="str">
        <f aca="true">IF(G796="","",IF(G796=1,"Completed",
IF(G796=0,"Not Started",
IF(AND(F796&lt;&gt;"",ISNUMBER(F796),F796&lt;TODAY()),"Delayed","In Progress")
)
)
)</f>
        <v/>
      </c>
      <c r="I796" s="76"/>
      <c r="J796" s="76"/>
      <c r="K796" s="76"/>
      <c r="L796" s="76"/>
      <c r="M796" s="80"/>
      <c r="N796" s="96"/>
    </row>
    <row r="797" customFormat="false" ht="22.5" hidden="false" customHeight="true" outlineLevel="0" collapsed="false">
      <c r="A797" s="94"/>
      <c r="B797" s="95"/>
      <c r="C797" s="84"/>
      <c r="D797" s="76"/>
      <c r="E797" s="77"/>
      <c r="F797" s="77"/>
      <c r="G797" s="78"/>
      <c r="H797" s="76" t="str">
        <f aca="true">IF(G797="","",IF(G797=1,"Completed",
IF(G797=0,"Not Started",
IF(AND(F797&lt;&gt;"",ISNUMBER(F797),F797&lt;TODAY()),"Delayed","In Progress")
)
)
)</f>
        <v/>
      </c>
      <c r="I797" s="76"/>
      <c r="J797" s="76"/>
      <c r="K797" s="76"/>
      <c r="L797" s="76"/>
      <c r="M797" s="80"/>
      <c r="N797" s="96"/>
    </row>
    <row r="798" customFormat="false" ht="22.5" hidden="false" customHeight="true" outlineLevel="0" collapsed="false">
      <c r="A798" s="94"/>
      <c r="B798" s="95"/>
      <c r="C798" s="84"/>
      <c r="D798" s="76"/>
      <c r="E798" s="77"/>
      <c r="F798" s="77"/>
      <c r="G798" s="78"/>
      <c r="H798" s="76" t="str">
        <f aca="true">IF(G798="","",IF(G798=1,"Completed",
IF(G798=0,"Not Started",
IF(AND(F798&lt;&gt;"",ISNUMBER(F798),F798&lt;TODAY()),"Delayed","In Progress")
)
)
)</f>
        <v/>
      </c>
      <c r="I798" s="76"/>
      <c r="J798" s="76"/>
      <c r="K798" s="76"/>
      <c r="L798" s="76"/>
      <c r="M798" s="80"/>
      <c r="N798" s="96"/>
    </row>
    <row r="799" customFormat="false" ht="22.5" hidden="false" customHeight="true" outlineLevel="0" collapsed="false">
      <c r="A799" s="94"/>
      <c r="B799" s="95"/>
      <c r="C799" s="84"/>
      <c r="D799" s="76"/>
      <c r="E799" s="77"/>
      <c r="F799" s="77"/>
      <c r="G799" s="78"/>
      <c r="H799" s="76" t="str">
        <f aca="true">IF(G799="","",IF(G799=1,"Completed",
IF(G799=0,"Not Started",
IF(AND(F799&lt;&gt;"",ISNUMBER(F799),F799&lt;TODAY()),"Delayed","In Progress")
)
)
)</f>
        <v/>
      </c>
      <c r="I799" s="76"/>
      <c r="J799" s="76"/>
      <c r="K799" s="76"/>
      <c r="L799" s="76"/>
      <c r="M799" s="80"/>
      <c r="N799" s="96"/>
    </row>
    <row r="800" customFormat="false" ht="22.5" hidden="false" customHeight="true" outlineLevel="0" collapsed="false">
      <c r="A800" s="94"/>
      <c r="B800" s="95"/>
      <c r="C800" s="84"/>
      <c r="D800" s="76"/>
      <c r="E800" s="77"/>
      <c r="F800" s="77"/>
      <c r="G800" s="78"/>
      <c r="H800" s="76" t="str">
        <f aca="true">IF(G800="","",IF(G800=1,"Completed",
IF(G800=0,"Not Started",
IF(AND(F800&lt;&gt;"",ISNUMBER(F800),F800&lt;TODAY()),"Delayed","In Progress")
)
)
)</f>
        <v/>
      </c>
      <c r="I800" s="76"/>
      <c r="J800" s="76"/>
      <c r="K800" s="76"/>
      <c r="L800" s="76"/>
      <c r="M800" s="80"/>
      <c r="N800" s="96"/>
    </row>
    <row r="801" customFormat="false" ht="22.5" hidden="false" customHeight="true" outlineLevel="0" collapsed="false">
      <c r="A801" s="94"/>
      <c r="B801" s="95"/>
      <c r="C801" s="84"/>
      <c r="D801" s="76"/>
      <c r="E801" s="77"/>
      <c r="F801" s="77"/>
      <c r="G801" s="78"/>
      <c r="H801" s="76" t="str">
        <f aca="true">IF(G801="","",IF(G801=1,"Completed",
IF(G801=0,"Not Started",
IF(AND(F801&lt;&gt;"",ISNUMBER(F801),F801&lt;TODAY()),"Delayed","In Progress")
)
)
)</f>
        <v/>
      </c>
      <c r="I801" s="76"/>
      <c r="J801" s="76"/>
      <c r="K801" s="76"/>
      <c r="L801" s="76"/>
      <c r="M801" s="80"/>
      <c r="N801" s="96"/>
    </row>
    <row r="802" customFormat="false" ht="22.5" hidden="false" customHeight="true" outlineLevel="0" collapsed="false">
      <c r="A802" s="94"/>
      <c r="B802" s="95"/>
      <c r="C802" s="84"/>
      <c r="D802" s="76"/>
      <c r="E802" s="77"/>
      <c r="F802" s="77"/>
      <c r="G802" s="78"/>
      <c r="H802" s="76" t="str">
        <f aca="true">IF(G802="","",IF(G802=1,"Completed",
IF(G802=0,"Not Started",
IF(AND(F802&lt;&gt;"",ISNUMBER(F802),F802&lt;TODAY()),"Delayed","In Progress")
)
)
)</f>
        <v/>
      </c>
      <c r="I802" s="76"/>
      <c r="J802" s="76"/>
      <c r="K802" s="76"/>
      <c r="L802" s="76"/>
      <c r="M802" s="80"/>
      <c r="N802" s="96"/>
    </row>
    <row r="803" customFormat="false" ht="22.5" hidden="false" customHeight="true" outlineLevel="0" collapsed="false">
      <c r="A803" s="94"/>
      <c r="B803" s="95"/>
      <c r="C803" s="84"/>
      <c r="D803" s="76"/>
      <c r="E803" s="77"/>
      <c r="F803" s="77"/>
      <c r="G803" s="78"/>
      <c r="H803" s="76" t="str">
        <f aca="true">IF(G803="","",IF(G803=1,"Completed",
IF(G803=0,"Not Started",
IF(AND(F803&lt;&gt;"",ISNUMBER(F803),F803&lt;TODAY()),"Delayed","In Progress")
)
)
)</f>
        <v/>
      </c>
      <c r="I803" s="76"/>
      <c r="J803" s="76"/>
      <c r="K803" s="76"/>
      <c r="L803" s="76"/>
      <c r="M803" s="80"/>
      <c r="N803" s="96"/>
    </row>
    <row r="804" customFormat="false" ht="22.5" hidden="false" customHeight="true" outlineLevel="0" collapsed="false">
      <c r="A804" s="94"/>
      <c r="B804" s="95"/>
      <c r="C804" s="84"/>
      <c r="D804" s="76"/>
      <c r="E804" s="77"/>
      <c r="F804" s="77"/>
      <c r="G804" s="78"/>
      <c r="H804" s="76" t="str">
        <f aca="true">IF(G804="","",IF(G804=1,"Completed",
IF(G804=0,"Not Started",
IF(AND(F804&lt;&gt;"",ISNUMBER(F804),F804&lt;TODAY()),"Delayed","In Progress")
)
)
)</f>
        <v/>
      </c>
      <c r="I804" s="76"/>
      <c r="J804" s="76"/>
      <c r="K804" s="76"/>
      <c r="L804" s="76"/>
      <c r="M804" s="80"/>
      <c r="N804" s="96"/>
    </row>
    <row r="805" customFormat="false" ht="22.5" hidden="false" customHeight="true" outlineLevel="0" collapsed="false">
      <c r="A805" s="94"/>
      <c r="B805" s="95"/>
      <c r="C805" s="84"/>
      <c r="D805" s="76"/>
      <c r="E805" s="77"/>
      <c r="F805" s="77"/>
      <c r="G805" s="78"/>
      <c r="H805" s="76" t="str">
        <f aca="true">IF(G805="","",IF(G805=1,"Completed",
IF(G805=0,"Not Started",
IF(AND(F805&lt;&gt;"",ISNUMBER(F805),F805&lt;TODAY()),"Delayed","In Progress")
)
)
)</f>
        <v/>
      </c>
      <c r="I805" s="76"/>
      <c r="J805" s="76"/>
      <c r="K805" s="76"/>
      <c r="L805" s="76"/>
      <c r="M805" s="80"/>
      <c r="N805" s="96"/>
    </row>
    <row r="806" customFormat="false" ht="22.5" hidden="false" customHeight="true" outlineLevel="0" collapsed="false">
      <c r="A806" s="94"/>
      <c r="B806" s="95"/>
      <c r="C806" s="84"/>
      <c r="D806" s="76"/>
      <c r="E806" s="77"/>
      <c r="F806" s="77"/>
      <c r="G806" s="78"/>
      <c r="H806" s="76" t="str">
        <f aca="true">IF(G806="","",IF(G806=1,"Completed",
IF(G806=0,"Not Started",
IF(AND(F806&lt;&gt;"",ISNUMBER(F806),F806&lt;TODAY()),"Delayed","In Progress")
)
)
)</f>
        <v/>
      </c>
      <c r="I806" s="76"/>
      <c r="J806" s="76"/>
      <c r="K806" s="76"/>
      <c r="L806" s="76"/>
      <c r="M806" s="80"/>
      <c r="N806" s="96"/>
    </row>
    <row r="807" customFormat="false" ht="22.5" hidden="false" customHeight="true" outlineLevel="0" collapsed="false">
      <c r="A807" s="94"/>
      <c r="B807" s="95"/>
      <c r="C807" s="84"/>
      <c r="D807" s="76"/>
      <c r="E807" s="77"/>
      <c r="F807" s="77"/>
      <c r="G807" s="78"/>
      <c r="H807" s="76" t="str">
        <f aca="true">IF(G807="","",IF(G807=1,"Completed",
IF(G807=0,"Not Started",
IF(AND(F807&lt;&gt;"",ISNUMBER(F807),F807&lt;TODAY()),"Delayed","In Progress")
)
)
)</f>
        <v/>
      </c>
      <c r="I807" s="76"/>
      <c r="J807" s="76"/>
      <c r="K807" s="76"/>
      <c r="L807" s="76"/>
      <c r="M807" s="80"/>
      <c r="N807" s="96"/>
    </row>
    <row r="808" customFormat="false" ht="22.5" hidden="false" customHeight="true" outlineLevel="0" collapsed="false">
      <c r="A808" s="94"/>
      <c r="B808" s="95"/>
      <c r="C808" s="84"/>
      <c r="D808" s="76"/>
      <c r="E808" s="77"/>
      <c r="F808" s="77"/>
      <c r="G808" s="78"/>
      <c r="H808" s="76" t="str">
        <f aca="true">IF(G808="","",IF(G808=1,"Completed",
IF(G808=0,"Not Started",
IF(AND(F808&lt;&gt;"",ISNUMBER(F808),F808&lt;TODAY()),"Delayed","In Progress")
)
)
)</f>
        <v/>
      </c>
      <c r="I808" s="76"/>
      <c r="J808" s="76"/>
      <c r="K808" s="76"/>
      <c r="L808" s="76"/>
      <c r="M808" s="80"/>
      <c r="N808" s="96"/>
    </row>
    <row r="809" customFormat="false" ht="22.5" hidden="false" customHeight="true" outlineLevel="0" collapsed="false">
      <c r="A809" s="94"/>
      <c r="B809" s="95"/>
      <c r="C809" s="84"/>
      <c r="D809" s="76"/>
      <c r="E809" s="77"/>
      <c r="F809" s="77"/>
      <c r="G809" s="78"/>
      <c r="H809" s="76" t="str">
        <f aca="true">IF(G809="","",IF(G809=1,"Completed",
IF(G809=0,"Not Started",
IF(AND(F809&lt;&gt;"",ISNUMBER(F809),F809&lt;TODAY()),"Delayed","In Progress")
)
)
)</f>
        <v/>
      </c>
      <c r="I809" s="76"/>
      <c r="J809" s="76"/>
      <c r="K809" s="76"/>
      <c r="L809" s="76"/>
      <c r="M809" s="80"/>
      <c r="N809" s="96"/>
    </row>
    <row r="810" customFormat="false" ht="22.5" hidden="false" customHeight="true" outlineLevel="0" collapsed="false">
      <c r="A810" s="94"/>
      <c r="B810" s="95"/>
      <c r="C810" s="84"/>
      <c r="D810" s="76"/>
      <c r="E810" s="77"/>
      <c r="F810" s="77"/>
      <c r="G810" s="78"/>
      <c r="H810" s="76" t="str">
        <f aca="true">IF(G810="","",IF(G810=1,"Completed",
IF(G810=0,"Not Started",
IF(AND(F810&lt;&gt;"",ISNUMBER(F810),F810&lt;TODAY()),"Delayed","In Progress")
)
)
)</f>
        <v/>
      </c>
      <c r="I810" s="76"/>
      <c r="J810" s="76"/>
      <c r="K810" s="76"/>
      <c r="L810" s="76"/>
      <c r="M810" s="80"/>
      <c r="N810" s="96"/>
    </row>
    <row r="811" customFormat="false" ht="22.5" hidden="false" customHeight="true" outlineLevel="0" collapsed="false">
      <c r="A811" s="94"/>
      <c r="B811" s="95"/>
      <c r="C811" s="84"/>
      <c r="D811" s="76"/>
      <c r="E811" s="77"/>
      <c r="F811" s="77"/>
      <c r="G811" s="78"/>
      <c r="H811" s="76" t="str">
        <f aca="true">IF(G811="","",IF(G811=1,"Completed",
IF(G811=0,"Not Started",
IF(AND(F811&lt;&gt;"",ISNUMBER(F811),F811&lt;TODAY()),"Delayed","In Progress")
)
)
)</f>
        <v/>
      </c>
      <c r="I811" s="76"/>
      <c r="J811" s="76"/>
      <c r="K811" s="76"/>
      <c r="L811" s="76"/>
      <c r="M811" s="80"/>
      <c r="N811" s="96"/>
    </row>
    <row r="812" customFormat="false" ht="22.5" hidden="false" customHeight="true" outlineLevel="0" collapsed="false">
      <c r="A812" s="94"/>
      <c r="B812" s="95"/>
      <c r="C812" s="84"/>
      <c r="D812" s="76"/>
      <c r="E812" s="77"/>
      <c r="F812" s="77"/>
      <c r="G812" s="78"/>
      <c r="H812" s="76" t="str">
        <f aca="true">IF(G812="","",IF(G812=1,"Completed",
IF(G812=0,"Not Started",
IF(AND(F812&lt;&gt;"",ISNUMBER(F812),F812&lt;TODAY()),"Delayed","In Progress")
)
)
)</f>
        <v/>
      </c>
      <c r="I812" s="76"/>
      <c r="J812" s="76"/>
      <c r="K812" s="76"/>
      <c r="L812" s="76"/>
      <c r="M812" s="80"/>
      <c r="N812" s="96"/>
    </row>
    <row r="813" customFormat="false" ht="22.5" hidden="false" customHeight="true" outlineLevel="0" collapsed="false">
      <c r="A813" s="94"/>
      <c r="B813" s="95"/>
      <c r="C813" s="84"/>
      <c r="D813" s="76"/>
      <c r="E813" s="77"/>
      <c r="F813" s="77"/>
      <c r="G813" s="78"/>
      <c r="H813" s="76" t="str">
        <f aca="true">IF(G813="","",IF(G813=1,"Completed",
IF(G813=0,"Not Started",
IF(AND(F813&lt;&gt;"",ISNUMBER(F813),F813&lt;TODAY()),"Delayed","In Progress")
)
)
)</f>
        <v/>
      </c>
      <c r="I813" s="76"/>
      <c r="J813" s="76"/>
      <c r="K813" s="76"/>
      <c r="L813" s="76"/>
      <c r="M813" s="80"/>
      <c r="N813" s="96"/>
    </row>
    <row r="814" customFormat="false" ht="22.5" hidden="false" customHeight="true" outlineLevel="0" collapsed="false">
      <c r="A814" s="94"/>
      <c r="B814" s="95"/>
      <c r="C814" s="84"/>
      <c r="D814" s="76"/>
      <c r="E814" s="77"/>
      <c r="F814" s="77"/>
      <c r="G814" s="78"/>
      <c r="H814" s="76" t="str">
        <f aca="true">IF(G814="","",IF(G814=1,"Completed",
IF(G814=0,"Not Started",
IF(AND(F814&lt;&gt;"",ISNUMBER(F814),F814&lt;TODAY()),"Delayed","In Progress")
)
)
)</f>
        <v/>
      </c>
      <c r="I814" s="76"/>
      <c r="J814" s="76"/>
      <c r="K814" s="76"/>
      <c r="L814" s="76"/>
      <c r="M814" s="80"/>
      <c r="N814" s="96"/>
    </row>
    <row r="815" customFormat="false" ht="22.5" hidden="false" customHeight="true" outlineLevel="0" collapsed="false">
      <c r="A815" s="94"/>
      <c r="B815" s="95"/>
      <c r="C815" s="84"/>
      <c r="D815" s="76"/>
      <c r="E815" s="77"/>
      <c r="F815" s="77"/>
      <c r="G815" s="78"/>
      <c r="H815" s="76" t="str">
        <f aca="true">IF(G815="","",IF(G815=1,"Completed",
IF(G815=0,"Not Started",
IF(AND(F815&lt;&gt;"",ISNUMBER(F815),F815&lt;TODAY()),"Delayed","In Progress")
)
)
)</f>
        <v/>
      </c>
      <c r="I815" s="76"/>
      <c r="J815" s="76"/>
      <c r="K815" s="76"/>
      <c r="L815" s="76"/>
      <c r="M815" s="80"/>
      <c r="N815" s="96"/>
    </row>
    <row r="816" customFormat="false" ht="22.5" hidden="false" customHeight="true" outlineLevel="0" collapsed="false">
      <c r="A816" s="94"/>
      <c r="B816" s="95"/>
      <c r="C816" s="84"/>
      <c r="D816" s="76"/>
      <c r="E816" s="77"/>
      <c r="F816" s="77"/>
      <c r="G816" s="78"/>
      <c r="H816" s="76" t="str">
        <f aca="true">IF(G816="","",IF(G816=1,"Completed",
IF(G816=0,"Not Started",
IF(AND(F816&lt;&gt;"",ISNUMBER(F816),F816&lt;TODAY()),"Delayed","In Progress")
)
)
)</f>
        <v/>
      </c>
      <c r="I816" s="76"/>
      <c r="J816" s="76"/>
      <c r="K816" s="76"/>
      <c r="L816" s="76"/>
      <c r="M816" s="80"/>
      <c r="N816" s="96"/>
    </row>
    <row r="817" customFormat="false" ht="22.5" hidden="false" customHeight="true" outlineLevel="0" collapsed="false">
      <c r="A817" s="103"/>
      <c r="B817" s="104"/>
      <c r="C817" s="105"/>
      <c r="D817" s="106"/>
      <c r="E817" s="107"/>
      <c r="F817" s="107"/>
      <c r="G817" s="108"/>
      <c r="H817" s="106"/>
      <c r="I817" s="106"/>
      <c r="J817" s="58"/>
      <c r="K817" s="106"/>
      <c r="L817" s="106"/>
      <c r="M817" s="109"/>
      <c r="N817" s="103"/>
    </row>
    <row r="818" customFormat="false" ht="22.5" hidden="false" customHeight="true" outlineLevel="0" collapsed="false">
      <c r="A818" s="103"/>
      <c r="B818" s="104"/>
      <c r="C818" s="105"/>
      <c r="D818" s="106"/>
      <c r="E818" s="107"/>
      <c r="F818" s="107"/>
      <c r="G818" s="108"/>
      <c r="H818" s="106"/>
      <c r="I818" s="106"/>
      <c r="J818" s="58"/>
      <c r="K818" s="106"/>
      <c r="L818" s="106"/>
      <c r="M818" s="109"/>
      <c r="N818" s="103"/>
    </row>
    <row r="819" customFormat="false" ht="22.5" hidden="false" customHeight="true" outlineLevel="0" collapsed="false">
      <c r="A819" s="103"/>
      <c r="B819" s="104"/>
      <c r="C819" s="105"/>
      <c r="D819" s="106"/>
      <c r="E819" s="107"/>
      <c r="F819" s="107"/>
      <c r="G819" s="108"/>
      <c r="H819" s="106"/>
      <c r="I819" s="106"/>
      <c r="J819" s="58"/>
      <c r="K819" s="106"/>
      <c r="L819" s="106"/>
      <c r="M819" s="109"/>
      <c r="N819" s="103"/>
    </row>
    <row r="820" customFormat="false" ht="22.5" hidden="false" customHeight="true" outlineLevel="0" collapsed="false">
      <c r="A820" s="103"/>
      <c r="B820" s="104"/>
      <c r="C820" s="105"/>
      <c r="D820" s="106"/>
      <c r="E820" s="107"/>
      <c r="F820" s="107"/>
      <c r="G820" s="108"/>
      <c r="H820" s="106"/>
      <c r="I820" s="106"/>
      <c r="J820" s="58"/>
      <c r="K820" s="106"/>
      <c r="L820" s="106"/>
      <c r="M820" s="109"/>
      <c r="N820" s="103"/>
    </row>
    <row r="821" customFormat="false" ht="22.5" hidden="false" customHeight="true" outlineLevel="0" collapsed="false">
      <c r="A821" s="103"/>
      <c r="B821" s="104"/>
      <c r="C821" s="105"/>
      <c r="D821" s="106"/>
      <c r="E821" s="107"/>
      <c r="F821" s="107"/>
      <c r="G821" s="108"/>
      <c r="H821" s="106"/>
      <c r="I821" s="106"/>
      <c r="J821" s="58"/>
      <c r="K821" s="106"/>
      <c r="L821" s="106"/>
      <c r="M821" s="109"/>
      <c r="N821" s="103"/>
    </row>
    <row r="822" customFormat="false" ht="22.5" hidden="false" customHeight="true" outlineLevel="0" collapsed="false">
      <c r="A822" s="103"/>
      <c r="B822" s="104"/>
      <c r="C822" s="105"/>
      <c r="D822" s="106"/>
      <c r="E822" s="107"/>
      <c r="F822" s="107"/>
      <c r="G822" s="108"/>
      <c r="H822" s="106"/>
      <c r="I822" s="106"/>
      <c r="J822" s="58"/>
      <c r="K822" s="106"/>
      <c r="L822" s="106"/>
      <c r="M822" s="109"/>
      <c r="N822" s="103"/>
    </row>
    <row r="823" customFormat="false" ht="22.5" hidden="false" customHeight="true" outlineLevel="0" collapsed="false">
      <c r="A823" s="103"/>
      <c r="B823" s="104"/>
      <c r="C823" s="105"/>
      <c r="D823" s="106"/>
      <c r="E823" s="107"/>
      <c r="F823" s="107"/>
      <c r="G823" s="108"/>
      <c r="H823" s="106"/>
      <c r="I823" s="106"/>
      <c r="J823" s="58"/>
      <c r="K823" s="106"/>
      <c r="L823" s="106"/>
      <c r="M823" s="109"/>
      <c r="N823" s="103"/>
    </row>
    <row r="824" customFormat="false" ht="22.5" hidden="false" customHeight="true" outlineLevel="0" collapsed="false">
      <c r="A824" s="103"/>
      <c r="B824" s="104"/>
      <c r="C824" s="105"/>
      <c r="D824" s="106"/>
      <c r="E824" s="107"/>
      <c r="F824" s="107"/>
      <c r="G824" s="108"/>
      <c r="H824" s="106"/>
      <c r="I824" s="106"/>
      <c r="J824" s="58"/>
      <c r="K824" s="106"/>
      <c r="L824" s="106"/>
      <c r="M824" s="109"/>
      <c r="N824" s="103"/>
    </row>
    <row r="825" customFormat="false" ht="22.5" hidden="false" customHeight="true" outlineLevel="0" collapsed="false">
      <c r="A825" s="103"/>
      <c r="B825" s="104"/>
      <c r="C825" s="105"/>
      <c r="D825" s="106"/>
      <c r="E825" s="107"/>
      <c r="F825" s="107"/>
      <c r="G825" s="108"/>
      <c r="H825" s="106"/>
      <c r="I825" s="106"/>
      <c r="J825" s="58"/>
      <c r="K825" s="106"/>
      <c r="L825" s="106"/>
      <c r="M825" s="109"/>
      <c r="N825" s="103"/>
    </row>
    <row r="826" customFormat="false" ht="22.5" hidden="false" customHeight="true" outlineLevel="0" collapsed="false">
      <c r="A826" s="103"/>
      <c r="B826" s="104"/>
      <c r="C826" s="105"/>
      <c r="D826" s="106"/>
      <c r="E826" s="107"/>
      <c r="F826" s="107"/>
      <c r="G826" s="108"/>
      <c r="H826" s="106"/>
      <c r="I826" s="106"/>
      <c r="J826" s="58"/>
      <c r="K826" s="106"/>
      <c r="L826" s="106"/>
      <c r="M826" s="109"/>
      <c r="N826" s="103"/>
    </row>
  </sheetData>
  <mergeCells count="2">
    <mergeCell ref="A1:C2"/>
    <mergeCell ref="M1:N2"/>
  </mergeCells>
  <conditionalFormatting sqref="H5:H826">
    <cfRule type="containsText" priority="2" operator="containsText" aboveAverage="0" equalAverage="0" bottom="0" percent="0" rank="0" text="At Risk" dxfId="14">
      <formula>NOT(ISERROR(SEARCH("At Risk",H5)))</formula>
    </cfRule>
    <cfRule type="containsText" priority="3" operator="containsText" aboveAverage="0" equalAverage="0" bottom="0" percent="0" rank="0" text="not started" dxfId="0">
      <formula>NOT(ISERROR(SEARCH("not started",H5)))</formula>
    </cfRule>
    <cfRule type="containsText" priority="4" operator="containsText" aboveAverage="0" equalAverage="0" bottom="0" percent="0" rank="0" text="In Progress" dxfId="1">
      <formula>NOT(ISERROR(SEARCH("In Progress",H5)))</formula>
    </cfRule>
    <cfRule type="containsText" priority="5" operator="containsText" aboveAverage="0" equalAverage="0" bottom="0" percent="0" rank="0" text="completed" dxfId="2">
      <formula>NOT(ISERROR(SEARCH("completed",H5)))</formula>
    </cfRule>
    <cfRule type="containsText" priority="6" operator="containsText" aboveAverage="0" equalAverage="0" bottom="0" percent="0" rank="0" text="Delayed" dxfId="3">
      <formula>NOT(ISERROR(SEARCH("Delayed",H5)))</formula>
    </cfRule>
  </conditionalFormatting>
  <conditionalFormatting sqref="H1:H4 H827:H1048576">
    <cfRule type="cellIs" priority="7" operator="equal" aboveAverage="0" equalAverage="0" bottom="0" percent="0" rank="0" text="" dxfId="3">
      <formula>"Delayed"</formula>
    </cfRule>
  </conditionalFormatting>
  <conditionalFormatting sqref="H1:H4 I827:I1048576">
    <cfRule type="containsText" priority="8" operator="containsText" aboveAverage="0" equalAverage="0" bottom="0" percent="0" rank="0" text="not started" dxfId="0">
      <formula>NOT(ISERROR(SEARCH("not started",H1)))</formula>
    </cfRule>
    <cfRule type="containsText" priority="9" operator="containsText" aboveAverage="0" equalAverage="0" bottom="0" percent="0" rank="0" text="In Progress" dxfId="1">
      <formula>NOT(ISERROR(SEARCH("In Progress",H1)))</formula>
    </cfRule>
    <cfRule type="containsText" priority="10" operator="containsText" aboveAverage="0" equalAverage="0" bottom="0" percent="0" rank="0" text="completed" dxfId="2">
      <formula>NOT(ISERROR(SEARCH("completed",H1)))</formula>
    </cfRule>
    <cfRule type="containsText" priority="11" operator="containsText" aboveAverage="0" equalAverage="0" bottom="0" percent="0" rank="0" text="Pending" dxfId="3">
      <formula>NOT(ISERROR(SEARCH("Pending",H1)))</formula>
    </cfRule>
  </conditionalFormatting>
  <dataValidations count="6">
    <dataValidation allowBlank="true" errorStyle="stop" operator="between" showDropDown="false" showErrorMessage="false" showInputMessage="false" sqref="D5:D816" type="list">
      <formula1>"Performance Analyst ,Data Analyst ,HASTT,AI"</formula1>
      <formula2>0</formula2>
    </dataValidation>
    <dataValidation allowBlank="true" errorStyle="stop" operator="between" showDropDown="false" showErrorMessage="false" showInputMessage="false" sqref="I5:I816" type="list">
      <formula1>"Critical,High,Medium,Low"</formula1>
      <formula2>0</formula2>
    </dataValidation>
    <dataValidation allowBlank="true" errorStyle="stop" operator="between" showDropDown="false" showErrorMessage="false" showInputMessage="false" sqref="L5:L816" type="list">
      <formula1>"Yes,No"</formula1>
      <formula2>0</formula2>
    </dataValidation>
    <dataValidation allowBlank="true" errorStyle="stop" operator="between" showDropDown="false" showErrorMessage="false" showInputMessage="false" sqref="B5:B816" type="list">
      <formula1>"محضر,توجيه مباشر,إيميل,مهمة روتينية"</formula1>
      <formula2>0</formula2>
    </dataValidation>
    <dataValidation allowBlank="true" errorStyle="stop" operator="between" showDropDown="false" showErrorMessage="false" showInputMessage="false" sqref="J5:J816" type="list">
      <formula1>"م. علي الزهراني,أ. فيصل الرحيمي,م. حمادي الشعائره,أ. صفا الشهري,أ. صالحة المالكي,أ. نورة التركي,أ. رهف جباري,أ. محمد القحطاني,أ. تركي السلمان,أ. ريما الفهيد"</formula1>
      <formula2>0</formula2>
    </dataValidation>
    <dataValidation allowBlank="true" errorStyle="stop" operator="between" showDropDown="false" showErrorMessage="false" showInputMessage="false" sqref="K5:K816" type="list">
      <formula1>"م. علي الزهراني,أ. فيصل الرحيمي,م. حمادي الشعائره,أ. صفا الشهري,أ. صالحة المالكي,أ. نورة التركي,أ. رهف جباري,أ. محمد القحطاني,أ. تركي السلمان,أ. ريما الفهيد"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I18"/>
  <sheetViews>
    <sheetView showFormulas="false" showGridLines="false" showRowColHeaders="true" showZeros="true" rightToLeft="false" tabSelected="false" showOutlineSymbols="true" defaultGridColor="true" view="normal" topLeftCell="A1" colorId="64" zoomScale="80" zoomScaleNormal="80" zoomScalePageLayoutView="100" workbookViewId="0">
      <selection pane="topLeft" activeCell="B6" activeCellId="0" sqref="B6"/>
    </sheetView>
  </sheetViews>
  <sheetFormatPr defaultColWidth="8.875" defaultRowHeight="18.75" zeroHeight="false" outlineLevelRow="0" outlineLevelCol="0"/>
  <cols>
    <col collapsed="false" customWidth="true" hidden="false" outlineLevel="0" max="1" min="1" style="13" width="9.82"/>
    <col collapsed="false" customWidth="true" hidden="false" outlineLevel="0" max="3" min="2" style="13" width="40.89"/>
    <col collapsed="false" customWidth="true" hidden="false" outlineLevel="0" max="4" min="4" style="13" width="23.41"/>
    <col collapsed="false" customWidth="true" hidden="false" outlineLevel="0" max="5" min="5" style="13" width="15.87"/>
    <col collapsed="false" customWidth="true" hidden="false" outlineLevel="0" max="6" min="6" style="13" width="16.54"/>
    <col collapsed="false" customWidth="true" hidden="false" outlineLevel="0" max="7" min="7" style="110" width="16.54"/>
    <col collapsed="false" customWidth="true" hidden="false" outlineLevel="0" max="8" min="8" style="58" width="18.29"/>
    <col collapsed="false" customWidth="true" hidden="false" outlineLevel="0" max="9" min="9" style="13" width="15.87"/>
    <col collapsed="false" customWidth="true" hidden="false" outlineLevel="0" max="10" min="10" style="13" width="23.41"/>
    <col collapsed="false" customWidth="true" hidden="false" outlineLevel="0" max="11" min="11" style="13" width="26.5"/>
    <col collapsed="false" customWidth="true" hidden="false" outlineLevel="0" max="12" min="12" style="13" width="28.52"/>
    <col collapsed="false" customWidth="false" hidden="false" outlineLevel="0" max="13" min="13" style="13" width="8.87"/>
    <col collapsed="false" customWidth="true" hidden="false" outlineLevel="0" max="14" min="14" style="13" width="17.76"/>
    <col collapsed="false" customWidth="true" hidden="false" outlineLevel="0" max="15" min="15" style="13" width="11.97"/>
    <col collapsed="false" customWidth="true" hidden="false" outlineLevel="0" max="16" min="16" style="13" width="12.5"/>
    <col collapsed="false" customWidth="false" hidden="false" outlineLevel="0" max="56" min="17" style="13" width="8.87"/>
    <col collapsed="false" customWidth="true" hidden="false" outlineLevel="0" max="57" min="57" style="13" width="13.03"/>
    <col collapsed="false" customWidth="false" hidden="false" outlineLevel="0" max="58" min="58" style="13" width="8.87"/>
    <col collapsed="false" customWidth="true" hidden="false" outlineLevel="0" max="59" min="59" style="13" width="13.86"/>
    <col collapsed="false" customWidth="false" hidden="false" outlineLevel="0" max="16384" min="60" style="13" width="8.87"/>
  </cols>
  <sheetData>
    <row r="1" customFormat="false" ht="30.75" hidden="false" customHeight="true" outlineLevel="0" collapsed="false">
      <c r="A1" s="59" t="s">
        <v>140</v>
      </c>
      <c r="B1" s="59"/>
      <c r="C1" s="59"/>
      <c r="D1" s="59"/>
      <c r="E1" s="59"/>
      <c r="F1" s="59"/>
      <c r="G1" s="59"/>
      <c r="H1" s="59"/>
      <c r="I1" s="59"/>
      <c r="J1" s="9"/>
      <c r="K1" s="64"/>
      <c r="L1" s="64"/>
    </row>
    <row r="2" customFormat="false" ht="24.75" hidden="false" customHeight="true" outlineLevel="0" collapsed="false">
      <c r="A2" s="59"/>
      <c r="B2" s="59"/>
      <c r="C2" s="59"/>
      <c r="D2" s="59"/>
      <c r="E2" s="59"/>
      <c r="F2" s="59"/>
      <c r="G2" s="59"/>
      <c r="H2" s="59"/>
      <c r="I2" s="59"/>
      <c r="J2" s="9"/>
      <c r="K2" s="64"/>
      <c r="L2" s="64"/>
    </row>
    <row r="3" customFormat="false" ht="21.75" hidden="false" customHeight="true" outlineLevel="0" collapsed="false"/>
    <row r="4" s="115" customFormat="true" ht="50.25" hidden="false" customHeight="true" outlineLevel="0" collapsed="false">
      <c r="A4" s="111" t="s">
        <v>92</v>
      </c>
      <c r="B4" s="111" t="s">
        <v>141</v>
      </c>
      <c r="C4" s="111" t="s">
        <v>94</v>
      </c>
      <c r="D4" s="111" t="s">
        <v>95</v>
      </c>
      <c r="E4" s="112" t="s">
        <v>96</v>
      </c>
      <c r="F4" s="112" t="s">
        <v>97</v>
      </c>
      <c r="G4" s="113" t="s">
        <v>98</v>
      </c>
      <c r="H4" s="111" t="s">
        <v>99</v>
      </c>
      <c r="I4" s="111" t="s">
        <v>100</v>
      </c>
      <c r="J4" s="111" t="s">
        <v>142</v>
      </c>
      <c r="K4" s="111" t="s">
        <v>143</v>
      </c>
      <c r="L4" s="111" t="s">
        <v>105</v>
      </c>
      <c r="M4" s="114"/>
      <c r="N4" s="114"/>
      <c r="O4" s="114"/>
      <c r="P4" s="114"/>
      <c r="Q4" s="114"/>
      <c r="R4" s="114"/>
      <c r="S4" s="114"/>
      <c r="T4" s="114"/>
      <c r="U4" s="114"/>
      <c r="V4" s="114"/>
      <c r="W4" s="114"/>
      <c r="X4" s="114"/>
      <c r="Y4" s="114"/>
      <c r="Z4" s="114"/>
      <c r="AA4" s="114"/>
      <c r="AB4" s="114"/>
      <c r="AC4" s="114"/>
      <c r="AD4" s="114"/>
      <c r="AE4" s="114"/>
      <c r="AF4" s="114"/>
      <c r="AG4" s="114"/>
      <c r="AH4" s="114"/>
      <c r="AI4" s="114"/>
      <c r="AJ4" s="114"/>
      <c r="AK4" s="114"/>
      <c r="AL4" s="114"/>
      <c r="AM4" s="114"/>
      <c r="AN4" s="114"/>
      <c r="AO4" s="114"/>
      <c r="AP4" s="114"/>
      <c r="AQ4" s="114"/>
      <c r="AR4" s="114"/>
      <c r="AS4" s="114"/>
      <c r="AT4" s="114"/>
      <c r="AU4" s="114"/>
      <c r="AV4" s="114"/>
      <c r="AW4" s="114"/>
      <c r="AX4" s="114"/>
      <c r="AY4" s="114"/>
      <c r="AZ4" s="114"/>
      <c r="BA4" s="114"/>
      <c r="BB4" s="114"/>
      <c r="BC4" s="114"/>
      <c r="BD4" s="114"/>
      <c r="BE4" s="114"/>
      <c r="BF4" s="114"/>
      <c r="BG4" s="114"/>
      <c r="BH4" s="114"/>
      <c r="BI4" s="114"/>
    </row>
    <row r="5" customFormat="false" ht="22.5" hidden="false" customHeight="true" outlineLevel="0" collapsed="false">
      <c r="A5" s="116" t="n">
        <v>1</v>
      </c>
      <c r="B5" s="117" t="s">
        <v>144</v>
      </c>
      <c r="C5" s="118" t="s">
        <v>145</v>
      </c>
      <c r="D5" s="119" t="s">
        <v>6</v>
      </c>
      <c r="E5" s="120" t="n">
        <v>46204</v>
      </c>
      <c r="F5" s="121" t="n">
        <v>46233</v>
      </c>
      <c r="G5" s="122" t="n">
        <v>0.3</v>
      </c>
      <c r="H5" s="123" t="str">
        <f aca="true">IF(G5="","",
 IF(G5=1,"Completed",
  IF(G5=0,"Not Started",
   IF(AND(F5&lt;&gt;"",ISNUMBER(F5),F5&lt;TODAY()),"Delayed","In Progress")
  )
 )
)</f>
        <v>In Progress</v>
      </c>
      <c r="I5" s="123" t="s">
        <v>10</v>
      </c>
      <c r="J5" s="119" t="s">
        <v>107</v>
      </c>
      <c r="K5" s="124" t="s">
        <v>125</v>
      </c>
      <c r="L5" s="117" t="s">
        <v>146</v>
      </c>
    </row>
    <row r="6" customFormat="false" ht="45.75" hidden="false" customHeight="true" outlineLevel="0" collapsed="false">
      <c r="A6" s="125" t="n">
        <f aca="false">A5+1</f>
        <v>2</v>
      </c>
      <c r="B6" s="117" t="s">
        <v>147</v>
      </c>
      <c r="C6" s="117" t="s">
        <v>148</v>
      </c>
      <c r="D6" s="124" t="s">
        <v>5</v>
      </c>
      <c r="E6" s="126" t="n">
        <v>46204</v>
      </c>
      <c r="F6" s="127" t="n">
        <v>46219</v>
      </c>
      <c r="G6" s="122" t="n">
        <v>0.6</v>
      </c>
      <c r="H6" s="123" t="str">
        <f aca="true">IF(G6="","",
IF(G6=1,"Completed",
IF(G6=0,"Not Started",
IF(AND(F6&lt;&gt;"",ISNUMBER(F6),F6&lt;TODAY()),"Delayed","In Progress")
)
)
)</f>
        <v>In Progress</v>
      </c>
      <c r="I6" s="128" t="s">
        <v>11</v>
      </c>
      <c r="J6" s="129" t="s">
        <v>125</v>
      </c>
      <c r="K6" s="124" t="s">
        <v>111</v>
      </c>
      <c r="L6" s="117" t="s">
        <v>149</v>
      </c>
    </row>
    <row r="7" customFormat="false" ht="22.5" hidden="false" customHeight="true" outlineLevel="0" collapsed="false">
      <c r="A7" s="125" t="n">
        <f aca="false">A6+1</f>
        <v>3</v>
      </c>
      <c r="B7" s="117" t="s">
        <v>150</v>
      </c>
      <c r="C7" s="117" t="s">
        <v>151</v>
      </c>
      <c r="D7" s="124" t="s">
        <v>5</v>
      </c>
      <c r="E7" s="126" t="n">
        <v>46208</v>
      </c>
      <c r="F7" s="127" t="n">
        <v>46233</v>
      </c>
      <c r="G7" s="122" t="n">
        <v>0.25</v>
      </c>
      <c r="H7" s="123" t="str">
        <f aca="true">IF(G7="","",
IF(G7=1,"Completed",
IF(G7=0,"Not Started",
IF(AND(F7&lt;&gt;"",ISNUMBER(F7),F7&lt;TODAY()),"Delayed","In Progress")
)
)
)</f>
        <v>In Progress</v>
      </c>
      <c r="I7" s="128" t="s">
        <v>11</v>
      </c>
      <c r="J7" s="129" t="s">
        <v>125</v>
      </c>
      <c r="K7" s="124" t="s">
        <v>107</v>
      </c>
      <c r="L7" s="117" t="s">
        <v>152</v>
      </c>
    </row>
    <row r="8" customFormat="false" ht="22.5" hidden="false" customHeight="true" outlineLevel="0" collapsed="false">
      <c r="A8" s="125" t="n">
        <f aca="false">A7+1</f>
        <v>4</v>
      </c>
      <c r="B8" s="117" t="s">
        <v>153</v>
      </c>
      <c r="C8" s="117" t="s">
        <v>154</v>
      </c>
      <c r="D8" s="124" t="s">
        <v>5</v>
      </c>
      <c r="E8" s="126" t="n">
        <v>46204</v>
      </c>
      <c r="F8" s="127" t="n">
        <v>46225</v>
      </c>
      <c r="G8" s="122" t="n">
        <v>0.35</v>
      </c>
      <c r="H8" s="123" t="str">
        <f aca="true">IF(G8="","",
IF(G8=1,"Completed",
IF(G8=0,"Not Started",
IF(AND(F8&lt;&gt;"",ISNUMBER(F8),F8&lt;TODAY()),"Delayed","In Progress")
)
)
)</f>
        <v>In Progress</v>
      </c>
      <c r="I8" s="128" t="s">
        <v>11</v>
      </c>
      <c r="J8" s="124" t="s">
        <v>111</v>
      </c>
      <c r="K8" s="124" t="s">
        <v>122</v>
      </c>
      <c r="L8" s="117" t="s">
        <v>155</v>
      </c>
    </row>
    <row r="9" customFormat="false" ht="22.5" hidden="false" customHeight="true" outlineLevel="0" collapsed="false">
      <c r="A9" s="125" t="n">
        <f aca="false">A8+1</f>
        <v>5</v>
      </c>
      <c r="B9" s="117" t="s">
        <v>156</v>
      </c>
      <c r="C9" s="117" t="s">
        <v>157</v>
      </c>
      <c r="D9" s="124" t="s">
        <v>6</v>
      </c>
      <c r="E9" s="126" t="n">
        <v>46204</v>
      </c>
      <c r="F9" s="127" t="n">
        <v>46219</v>
      </c>
      <c r="G9" s="122" t="n">
        <v>0.5</v>
      </c>
      <c r="H9" s="123" t="str">
        <f aca="true">IF(G9="","",
IF(G9=1,"Completed",
IF(G9=0,"Not Started",
IF(AND(F9&lt;&gt;"",ISNUMBER(F9),F9&lt;TODAY()),"Delayed","In Progress")
)
)
)</f>
        <v>In Progress</v>
      </c>
      <c r="I9" s="128" t="s">
        <v>13</v>
      </c>
      <c r="J9" s="129" t="s">
        <v>158</v>
      </c>
      <c r="K9" s="124" t="s">
        <v>114</v>
      </c>
      <c r="L9" s="117"/>
    </row>
    <row r="10" customFormat="false" ht="22.5" hidden="false" customHeight="true" outlineLevel="0" collapsed="false">
      <c r="A10" s="125" t="n">
        <f aca="false">A9+1</f>
        <v>6</v>
      </c>
      <c r="B10" s="117" t="s">
        <v>159</v>
      </c>
      <c r="C10" s="117" t="s">
        <v>160</v>
      </c>
      <c r="D10" s="124" t="s">
        <v>5</v>
      </c>
      <c r="E10" s="126" t="n">
        <v>46211</v>
      </c>
      <c r="F10" s="127" t="n">
        <v>46219</v>
      </c>
      <c r="G10" s="122" t="n">
        <v>0.1</v>
      </c>
      <c r="H10" s="123" t="str">
        <f aca="true">IF(G10="","",
IF(G10=1,"Completed",
IF(G10=0,"Not Started",
IF(AND(F10&lt;&gt;"",ISNUMBER(F10),F10&lt;TODAY()),"Delayed","In Progress")
)
)
)</f>
        <v>In Progress</v>
      </c>
      <c r="I10" s="128" t="s">
        <v>13</v>
      </c>
      <c r="J10" s="129" t="s">
        <v>114</v>
      </c>
      <c r="K10" s="124" t="s">
        <v>125</v>
      </c>
      <c r="L10" s="117" t="s">
        <v>161</v>
      </c>
    </row>
    <row r="11" customFormat="false" ht="22.5" hidden="false" customHeight="true" outlineLevel="0" collapsed="false">
      <c r="A11" s="125" t="n">
        <f aca="false">A10+1</f>
        <v>7</v>
      </c>
      <c r="B11" s="117" t="s">
        <v>162</v>
      </c>
      <c r="C11" s="117" t="s">
        <v>163</v>
      </c>
      <c r="D11" s="124" t="s">
        <v>5</v>
      </c>
      <c r="E11" s="126" t="n">
        <v>46222</v>
      </c>
      <c r="F11" s="127" t="n">
        <v>46233</v>
      </c>
      <c r="G11" s="122" t="n">
        <v>0</v>
      </c>
      <c r="H11" s="123" t="str">
        <f aca="true">IF(G11="","",
IF(G11=1,"Completed",
IF(G11=0,"Not Started",
IF(AND(F11&lt;&gt;"",ISNUMBER(F11),F11&lt;TODAY()),"Delayed","In Progress")
)
)
)</f>
        <v>Not Started</v>
      </c>
      <c r="I11" s="128" t="s">
        <v>13</v>
      </c>
      <c r="J11" s="124" t="s">
        <v>111</v>
      </c>
      <c r="K11" s="124" t="s">
        <v>130</v>
      </c>
      <c r="L11" s="117"/>
    </row>
    <row r="12" customFormat="false" ht="37.5" hidden="false" customHeight="true" outlineLevel="0" collapsed="false">
      <c r="A12" s="125" t="n">
        <f aca="false">A11+1</f>
        <v>8</v>
      </c>
      <c r="B12" s="117"/>
      <c r="C12" s="117"/>
      <c r="D12" s="124"/>
      <c r="E12" s="124"/>
      <c r="F12" s="127"/>
      <c r="G12" s="122"/>
      <c r="H12" s="123" t="str">
        <f aca="true">IF(G12="","",
IF(G12=1,"Completed",
IF(G12=0,"Not Started",
IF(AND(F12&lt;&gt;"",ISNUMBER(F12),F12&lt;TODAY()),"Delayed","In Progress")
)
)
)</f>
        <v/>
      </c>
      <c r="I12" s="128"/>
      <c r="J12" s="124"/>
      <c r="K12" s="124"/>
      <c r="L12" s="117"/>
    </row>
    <row r="13" customFormat="false" ht="26.25" hidden="false" customHeight="true" outlineLevel="0" collapsed="false">
      <c r="A13" s="125" t="n">
        <f aca="false">A12+1</f>
        <v>9</v>
      </c>
      <c r="B13" s="117"/>
      <c r="C13" s="117"/>
      <c r="D13" s="124"/>
      <c r="E13" s="124"/>
      <c r="F13" s="127"/>
      <c r="G13" s="122"/>
      <c r="H13" s="123" t="str">
        <f aca="true">IF(G13="","",
IF(G13=1,"Completed",
IF(G13=0,"Not Started",
IF(AND(F13&lt;&gt;"",ISNUMBER(F13),F13&lt;TODAY()),"Delayed","In Progress")
)
)
)</f>
        <v/>
      </c>
      <c r="I13" s="128"/>
      <c r="J13" s="124"/>
      <c r="K13" s="124"/>
      <c r="L13" s="117"/>
    </row>
    <row r="14" customFormat="false" ht="22.5" hidden="false" customHeight="true" outlineLevel="0" collapsed="false">
      <c r="A14" s="125" t="n">
        <f aca="false">A13+1</f>
        <v>10</v>
      </c>
      <c r="B14" s="117"/>
      <c r="C14" s="117"/>
      <c r="D14" s="124"/>
      <c r="E14" s="124"/>
      <c r="F14" s="127"/>
      <c r="G14" s="122"/>
      <c r="H14" s="123" t="str">
        <f aca="true">IF(G14="","",
IF(G14=1,"Completed",
IF(G14=0,"Not Started",
IF(AND(F14&lt;&gt;"",ISNUMBER(F14),F14&lt;TODAY()),"Delayed","In Progress")
)
)
)</f>
        <v/>
      </c>
      <c r="I14" s="128"/>
      <c r="J14" s="124"/>
      <c r="K14" s="124"/>
      <c r="L14" s="117"/>
    </row>
    <row r="15" customFormat="false" ht="22.5" hidden="false" customHeight="true" outlineLevel="0" collapsed="false">
      <c r="A15" s="130"/>
      <c r="B15" s="117"/>
      <c r="C15" s="117"/>
      <c r="D15" s="124"/>
      <c r="E15" s="124"/>
      <c r="F15" s="131"/>
      <c r="G15" s="132"/>
      <c r="H15" s="128" t="str">
        <f aca="true">IF(G15="","",
 IF(G15=1,"Completed",
  IF(G15=0,"Not Started",
   IF(AND(F15&lt;&gt;"",ISNUMBER(F15),F15&lt;TODAY()),"Delayed","In Progress")
  )
 )
)</f>
        <v/>
      </c>
      <c r="I15" s="124"/>
      <c r="J15" s="117"/>
      <c r="K15" s="117"/>
      <c r="L15" s="117"/>
    </row>
    <row r="16" customFormat="false" ht="22.5" hidden="false" customHeight="true" outlineLevel="0" collapsed="false">
      <c r="A16" s="130"/>
      <c r="B16" s="117"/>
      <c r="C16" s="117"/>
      <c r="D16" s="124"/>
      <c r="E16" s="124"/>
      <c r="F16" s="131"/>
      <c r="G16" s="132"/>
      <c r="H16" s="128" t="str">
        <f aca="true">IF(G16="","",
 IF(G16=1,"Completed",
  IF(G16=0,"Not Started",
   IF(AND(F16&lt;&gt;"",ISNUMBER(F16),F16&lt;TODAY()),"Delayed","In Progress")
  )
 )
)</f>
        <v/>
      </c>
      <c r="I16" s="124"/>
      <c r="J16" s="117"/>
      <c r="K16" s="117"/>
      <c r="L16" s="117"/>
    </row>
    <row r="17" customFormat="false" ht="22.5" hidden="false" customHeight="true" outlineLevel="0" collapsed="false">
      <c r="A17" s="130"/>
      <c r="B17" s="117"/>
      <c r="C17" s="117"/>
      <c r="D17" s="124"/>
      <c r="E17" s="124"/>
      <c r="F17" s="131"/>
      <c r="G17" s="132"/>
      <c r="H17" s="128" t="str">
        <f aca="true">IF(G17="","",
 IF(G17=1,"Completed",
  IF(G17=0,"Not Started",
   IF(AND(F17&lt;&gt;"",ISNUMBER(F17),F17&lt;TODAY()),"Delayed","In Progress")
  )
 )
)</f>
        <v/>
      </c>
      <c r="I17" s="124"/>
      <c r="J17" s="117"/>
      <c r="K17" s="117"/>
      <c r="L17" s="117"/>
    </row>
    <row r="18" customFormat="false" ht="26.25" hidden="false" customHeight="true" outlineLevel="0" collapsed="false"/>
  </sheetData>
  <mergeCells count="2">
    <mergeCell ref="A1:I2"/>
    <mergeCell ref="K1:L2"/>
  </mergeCells>
  <conditionalFormatting sqref="H11:H17">
    <cfRule type="containsText" priority="2" operator="containsText" aboveAverage="0" equalAverage="0" bottom="0" percent="0" rank="0" text="On Track" dxfId="1">
      <formula>NOT(ISERROR(SEARCH("On Track",H11)))</formula>
    </cfRule>
  </conditionalFormatting>
  <conditionalFormatting sqref="H5:H17">
    <cfRule type="containsText" priority="3" operator="containsText" aboveAverage="0" equalAverage="0" bottom="0" percent="0" rank="0" text="Not Started" dxfId="0">
      <formula>NOT(ISERROR(SEARCH("Not Started",H5)))</formula>
    </cfRule>
    <cfRule type="containsText" priority="4" operator="containsText" aboveAverage="0" equalAverage="0" bottom="0" percent="0" rank="0" text="Delayed" dxfId="3">
      <formula>NOT(ISERROR(SEARCH("Delayed",H5)))</formula>
    </cfRule>
    <cfRule type="containsText" priority="5" operator="containsText" aboveAverage="0" equalAverage="0" bottom="0" percent="0" rank="0" text="In progress" dxfId="1">
      <formula>NOT(ISERROR(SEARCH("In progress",H5)))</formula>
    </cfRule>
    <cfRule type="containsText" priority="6" operator="containsText" aboveAverage="0" equalAverage="0" bottom="0" percent="0" rank="0" text="Completed" dxfId="2">
      <formula>NOT(ISERROR(SEARCH("Completed",H5)))</formula>
    </cfRule>
  </conditionalFormatting>
  <conditionalFormatting sqref="H3:H4">
    <cfRule type="containsText" priority="7" operator="containsText" aboveAverage="0" equalAverage="0" bottom="0" percent="0" rank="0" text="not started" dxfId="0">
      <formula>NOT(ISERROR(SEARCH("not started",H3)))</formula>
    </cfRule>
    <cfRule type="containsText" priority="8" operator="containsText" aboveAverage="0" equalAverage="0" bottom="0" percent="0" rank="0" text="In Progress" dxfId="1">
      <formula>NOT(ISERROR(SEARCH("In Progress",H3)))</formula>
    </cfRule>
    <cfRule type="containsText" priority="9" operator="containsText" aboveAverage="0" equalAverage="0" bottom="0" percent="0" rank="0" text="completed" dxfId="2">
      <formula>NOT(ISERROR(SEARCH("completed",H3)))</formula>
    </cfRule>
    <cfRule type="containsText" priority="10" operator="containsText" aboveAverage="0" equalAverage="0" bottom="0" percent="0" rank="0" text="Pending" dxfId="3">
      <formula>NOT(ISERROR(SEARCH("Pending",H3)))</formula>
    </cfRule>
  </conditionalFormatting>
  <dataValidations count="4">
    <dataValidation allowBlank="true" errorStyle="stop" operator="between" showDropDown="false" showErrorMessage="false" showInputMessage="false" sqref="D5:D17" type="list">
      <formula1>"Performance Analyst ,Data Analyst ,HASTT,AI"</formula1>
      <formula2>0</formula2>
    </dataValidation>
    <dataValidation allowBlank="true" errorStyle="stop" operator="between" showDropDown="false" showErrorMessage="false" showInputMessage="false" sqref="I5:I17" type="list">
      <formula1>"Critical,High,Medium,Low"</formula1>
      <formula2>0</formula2>
    </dataValidation>
    <dataValidation allowBlank="true" errorStyle="stop" operator="between" showDropDown="false" showErrorMessage="false" showInputMessage="false" sqref="J5:J17" type="list">
      <formula1>"م. علي الزهراني,أ. فيصل الرحيمي,م. حمادي الشعائره,أ. صفا الشهري,أ. صالحة المالكي,أ. نورة التركي,أ. رهف جباري,أ. محمد القحطاني,أ. تركي السلمان,أ. ريما الفهيد"</formula1>
      <formula2>0</formula2>
    </dataValidation>
    <dataValidation allowBlank="true" errorStyle="stop" operator="between" showDropDown="false" showErrorMessage="false" showInputMessage="false" sqref="K5:K17" type="list">
      <formula1>"م. علي الزهراني,أ. فيصل الرحيمي,م. حمادي الشعائره,أ. صفا الشهري,أ. صالحة المالكي,أ. نورة التركي,أ. رهف جباري,أ. محمد القحطاني,أ. تركي السلمان,أ. ريما الفهيد"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I62"/>
  <sheetViews>
    <sheetView showFormulas="false" showGridLines="false" showRowColHeaders="true" showZeros="true" rightToLeft="false" tabSelected="false" showOutlineSymbols="true" defaultGridColor="true" view="normal" topLeftCell="A1" colorId="64" zoomScale="70" zoomScaleNormal="70" zoomScalePageLayoutView="100" workbookViewId="0">
      <selection pane="topLeft" activeCell="B5" activeCellId="0" sqref="B5"/>
    </sheetView>
  </sheetViews>
  <sheetFormatPr defaultColWidth="8.875" defaultRowHeight="18.75" zeroHeight="false" outlineLevelRow="0" outlineLevelCol="0"/>
  <cols>
    <col collapsed="false" customWidth="true" hidden="false" outlineLevel="0" max="1" min="1" style="13" width="9.94"/>
    <col collapsed="false" customWidth="true" hidden="false" outlineLevel="0" max="2" min="2" style="13" width="67.79"/>
    <col collapsed="false" customWidth="true" hidden="false" outlineLevel="0" max="3" min="3" style="13" width="35.78"/>
    <col collapsed="false" customWidth="true" hidden="false" outlineLevel="0" max="4" min="4" style="13" width="18.96"/>
    <col collapsed="false" customWidth="true" hidden="false" outlineLevel="0" max="5" min="5" style="13" width="23.41"/>
    <col collapsed="false" customWidth="true" hidden="false" outlineLevel="0" max="6" min="6" style="13" width="15.6"/>
    <col collapsed="false" customWidth="true" hidden="false" outlineLevel="0" max="7" min="7" style="56" width="15.6"/>
    <col collapsed="false" customWidth="true" hidden="false" outlineLevel="0" max="8" min="8" style="58" width="18.29"/>
    <col collapsed="false" customWidth="true" hidden="false" outlineLevel="0" max="9" min="9" style="13" width="15.87"/>
    <col collapsed="false" customWidth="true" hidden="false" outlineLevel="0" max="11" min="10" style="13" width="32.15"/>
    <col collapsed="false" customWidth="true" hidden="false" outlineLevel="0" max="12" min="12" style="13" width="23.41"/>
    <col collapsed="false" customWidth="false" hidden="false" outlineLevel="0" max="13" min="13" style="13" width="8.87"/>
    <col collapsed="false" customWidth="true" hidden="false" outlineLevel="0" max="14" min="14" style="13" width="12.38"/>
    <col collapsed="false" customWidth="true" hidden="false" outlineLevel="0" max="15" min="15" style="13" width="13.86"/>
    <col collapsed="false" customWidth="true" hidden="false" outlineLevel="0" max="16" min="16" style="13" width="10.62"/>
    <col collapsed="false" customWidth="false" hidden="false" outlineLevel="0" max="55" min="17" style="13" width="8.87"/>
    <col collapsed="false" customWidth="true" hidden="false" outlineLevel="0" max="56" min="56" style="13" width="14.13"/>
    <col collapsed="false" customWidth="false" hidden="false" outlineLevel="0" max="16384" min="57" style="13" width="8.87"/>
  </cols>
  <sheetData>
    <row r="1" customFormat="false" ht="30.75" hidden="false" customHeight="true" outlineLevel="0" collapsed="false">
      <c r="A1" s="133" t="s">
        <v>164</v>
      </c>
      <c r="B1" s="133"/>
      <c r="C1" s="133"/>
      <c r="D1" s="133"/>
      <c r="E1" s="133"/>
      <c r="F1" s="133"/>
      <c r="G1" s="133"/>
      <c r="H1" s="10"/>
      <c r="I1" s="9"/>
      <c r="J1" s="9"/>
      <c r="K1" s="9"/>
      <c r="L1" s="9"/>
    </row>
    <row r="2" customFormat="false" ht="32.25" hidden="false" customHeight="true" outlineLevel="0" collapsed="false">
      <c r="A2" s="133"/>
      <c r="B2" s="133"/>
      <c r="C2" s="133"/>
      <c r="D2" s="133"/>
      <c r="E2" s="133"/>
      <c r="F2" s="133"/>
      <c r="G2" s="133"/>
      <c r="H2" s="10"/>
      <c r="I2" s="9"/>
      <c r="J2" s="9"/>
      <c r="K2" s="9"/>
      <c r="L2" s="9"/>
    </row>
    <row r="4" s="138" customFormat="true" ht="63" hidden="false" customHeight="true" outlineLevel="0" collapsed="false">
      <c r="A4" s="134" t="s">
        <v>92</v>
      </c>
      <c r="B4" s="135" t="s">
        <v>141</v>
      </c>
      <c r="C4" s="135" t="s">
        <v>165</v>
      </c>
      <c r="D4" s="135" t="s">
        <v>166</v>
      </c>
      <c r="E4" s="135" t="s">
        <v>95</v>
      </c>
      <c r="F4" s="135" t="s">
        <v>96</v>
      </c>
      <c r="G4" s="136" t="s">
        <v>97</v>
      </c>
      <c r="H4" s="135" t="s">
        <v>99</v>
      </c>
      <c r="I4" s="135" t="s">
        <v>100</v>
      </c>
      <c r="J4" s="135" t="s">
        <v>142</v>
      </c>
      <c r="K4" s="135" t="s">
        <v>143</v>
      </c>
      <c r="L4" s="67" t="s">
        <v>105</v>
      </c>
      <c r="M4" s="137"/>
      <c r="N4" s="137"/>
      <c r="O4" s="137"/>
      <c r="P4" s="137"/>
      <c r="Q4" s="137"/>
      <c r="R4" s="137"/>
      <c r="S4" s="137"/>
      <c r="T4" s="137"/>
      <c r="U4" s="137"/>
      <c r="V4" s="137"/>
      <c r="W4" s="137"/>
      <c r="X4" s="137"/>
      <c r="Y4" s="137"/>
      <c r="Z4" s="137"/>
      <c r="AA4" s="137"/>
      <c r="AB4" s="137"/>
      <c r="AC4" s="137"/>
      <c r="AD4" s="137"/>
      <c r="AE4" s="137"/>
      <c r="AF4" s="137"/>
      <c r="AG4" s="137"/>
      <c r="AH4" s="137"/>
      <c r="AI4" s="137"/>
      <c r="AJ4" s="137"/>
      <c r="AK4" s="137"/>
      <c r="AL4" s="137"/>
      <c r="AM4" s="137"/>
      <c r="AN4" s="137"/>
      <c r="AO4" s="137"/>
      <c r="AP4" s="137"/>
      <c r="AQ4" s="137"/>
      <c r="AR4" s="137"/>
      <c r="AS4" s="137"/>
      <c r="AT4" s="137"/>
      <c r="AU4" s="137"/>
      <c r="AV4" s="137"/>
      <c r="AW4" s="137"/>
      <c r="AX4" s="137"/>
      <c r="AY4" s="137"/>
      <c r="AZ4" s="137"/>
      <c r="BA4" s="137"/>
      <c r="BB4" s="137"/>
      <c r="BC4" s="137"/>
      <c r="BD4" s="137"/>
      <c r="BE4" s="137"/>
      <c r="BF4" s="137"/>
      <c r="BG4" s="137"/>
      <c r="BH4" s="137"/>
      <c r="BI4" s="137"/>
    </row>
    <row r="5" customFormat="false" ht="24.75" hidden="false" customHeight="true" outlineLevel="0" collapsed="false">
      <c r="A5" s="139" t="n">
        <f aca="false">ROW()-5</f>
        <v>0</v>
      </c>
      <c r="B5" s="140" t="s">
        <v>167</v>
      </c>
      <c r="C5" s="117" t="s">
        <v>168</v>
      </c>
      <c r="D5" s="128" t="s">
        <v>19</v>
      </c>
      <c r="E5" s="141" t="s">
        <v>5</v>
      </c>
      <c r="F5" s="142" t="n">
        <v>46204</v>
      </c>
      <c r="G5" s="143" t="n">
        <v>46212</v>
      </c>
      <c r="H5" s="144" t="s">
        <v>21</v>
      </c>
      <c r="I5" s="141" t="s">
        <v>11</v>
      </c>
      <c r="J5" s="145" t="s">
        <v>125</v>
      </c>
      <c r="K5" s="80" t="s">
        <v>111</v>
      </c>
      <c r="L5" s="80" t="s">
        <v>169</v>
      </c>
    </row>
    <row r="6" customFormat="false" ht="31.5" hidden="false" customHeight="true" outlineLevel="0" collapsed="false">
      <c r="A6" s="139" t="n">
        <f aca="false">ROW()-5</f>
        <v>1</v>
      </c>
      <c r="B6" s="140" t="s">
        <v>170</v>
      </c>
      <c r="C6" s="117" t="s">
        <v>171</v>
      </c>
      <c r="D6" s="128" t="s">
        <v>19</v>
      </c>
      <c r="E6" s="141" t="s">
        <v>5</v>
      </c>
      <c r="F6" s="142" t="n">
        <v>46202</v>
      </c>
      <c r="G6" s="143" t="n">
        <v>46212</v>
      </c>
      <c r="H6" s="144" t="s">
        <v>21</v>
      </c>
      <c r="I6" s="141" t="s">
        <v>13</v>
      </c>
      <c r="J6" s="145" t="s">
        <v>111</v>
      </c>
      <c r="K6" s="80"/>
      <c r="L6" s="80" t="s">
        <v>172</v>
      </c>
    </row>
    <row r="7" customFormat="false" ht="31.5" hidden="false" customHeight="true" outlineLevel="0" collapsed="false">
      <c r="A7" s="139" t="n">
        <f aca="false">ROW()-5</f>
        <v>2</v>
      </c>
      <c r="B7" s="140" t="s">
        <v>173</v>
      </c>
      <c r="C7" s="117" t="s">
        <v>174</v>
      </c>
      <c r="D7" s="128" t="s">
        <v>19</v>
      </c>
      <c r="E7" s="141" t="s">
        <v>5</v>
      </c>
      <c r="F7" s="142" t="n">
        <v>46208</v>
      </c>
      <c r="G7" s="143" t="n">
        <v>46212</v>
      </c>
      <c r="H7" s="144" t="s">
        <v>21</v>
      </c>
      <c r="I7" s="141" t="s">
        <v>11</v>
      </c>
      <c r="J7" s="145" t="s">
        <v>125</v>
      </c>
      <c r="K7" s="80" t="s">
        <v>108</v>
      </c>
      <c r="L7" s="80" t="s">
        <v>175</v>
      </c>
    </row>
    <row r="8" customFormat="false" ht="24.75" hidden="false" customHeight="true" outlineLevel="0" collapsed="false">
      <c r="A8" s="139" t="n">
        <f aca="false">ROW()-5</f>
        <v>3</v>
      </c>
      <c r="B8" s="140" t="s">
        <v>176</v>
      </c>
      <c r="C8" s="117" t="s">
        <v>177</v>
      </c>
      <c r="D8" s="128" t="s">
        <v>19</v>
      </c>
      <c r="E8" s="141" t="s">
        <v>6</v>
      </c>
      <c r="F8" s="142" t="n">
        <v>46208</v>
      </c>
      <c r="G8" s="143" t="n">
        <v>46212</v>
      </c>
      <c r="H8" s="144" t="s">
        <v>21</v>
      </c>
      <c r="I8" s="141" t="s">
        <v>13</v>
      </c>
      <c r="J8" s="145" t="s">
        <v>107</v>
      </c>
      <c r="K8" s="80"/>
      <c r="L8" s="80"/>
    </row>
    <row r="9" customFormat="false" ht="24.75" hidden="false" customHeight="true" outlineLevel="0" collapsed="false">
      <c r="A9" s="139" t="n">
        <f aca="false">ROW()-5</f>
        <v>4</v>
      </c>
      <c r="B9" s="140" t="s">
        <v>178</v>
      </c>
      <c r="C9" s="117" t="s">
        <v>179</v>
      </c>
      <c r="D9" s="128" t="s">
        <v>18</v>
      </c>
      <c r="E9" s="141" t="s">
        <v>5</v>
      </c>
      <c r="F9" s="142" t="n">
        <v>46204</v>
      </c>
      <c r="G9" s="143" t="n">
        <v>46216</v>
      </c>
      <c r="H9" s="144" t="s">
        <v>21</v>
      </c>
      <c r="I9" s="141" t="s">
        <v>13</v>
      </c>
      <c r="J9" s="145" t="s">
        <v>130</v>
      </c>
      <c r="K9" s="80"/>
      <c r="L9" s="80" t="s">
        <v>180</v>
      </c>
    </row>
    <row r="10" customFormat="false" ht="24.75" hidden="false" customHeight="true" outlineLevel="0" collapsed="false">
      <c r="A10" s="139" t="n">
        <f aca="false">ROW()-5</f>
        <v>5</v>
      </c>
      <c r="B10" s="140"/>
      <c r="C10" s="117"/>
      <c r="D10" s="128"/>
      <c r="E10" s="141"/>
      <c r="F10" s="141"/>
      <c r="G10" s="143"/>
      <c r="H10" s="144"/>
      <c r="I10" s="141"/>
      <c r="J10" s="145"/>
      <c r="K10" s="80"/>
      <c r="L10" s="80"/>
    </row>
    <row r="11" customFormat="false" ht="24.75" hidden="false" customHeight="true" outlineLevel="0" collapsed="false">
      <c r="A11" s="139" t="n">
        <f aca="false">ROW()-5</f>
        <v>6</v>
      </c>
      <c r="B11" s="140"/>
      <c r="C11" s="117"/>
      <c r="D11" s="128"/>
      <c r="E11" s="141"/>
      <c r="F11" s="141"/>
      <c r="G11" s="143"/>
      <c r="H11" s="144"/>
      <c r="I11" s="141"/>
      <c r="J11" s="145"/>
      <c r="K11" s="80"/>
      <c r="L11" s="80"/>
    </row>
    <row r="12" customFormat="false" ht="24.75" hidden="false" customHeight="true" outlineLevel="0" collapsed="false">
      <c r="A12" s="139" t="n">
        <f aca="false">ROW()-5</f>
        <v>7</v>
      </c>
      <c r="B12" s="140"/>
      <c r="C12" s="117"/>
      <c r="D12" s="128"/>
      <c r="E12" s="141"/>
      <c r="F12" s="141"/>
      <c r="G12" s="143"/>
      <c r="H12" s="144"/>
      <c r="I12" s="141"/>
      <c r="J12" s="146"/>
      <c r="K12" s="145"/>
      <c r="L12" s="80"/>
    </row>
    <row r="13" customFormat="false" ht="24.75" hidden="false" customHeight="true" outlineLevel="0" collapsed="false">
      <c r="A13" s="139" t="n">
        <f aca="false">ROW()-5</f>
        <v>8</v>
      </c>
      <c r="B13" s="140"/>
      <c r="C13" s="117"/>
      <c r="D13" s="128"/>
      <c r="E13" s="141"/>
      <c r="F13" s="141"/>
      <c r="G13" s="143"/>
      <c r="H13" s="144"/>
      <c r="I13" s="141"/>
      <c r="J13" s="145"/>
      <c r="K13" s="145"/>
      <c r="L13" s="80"/>
    </row>
    <row r="14" customFormat="false" ht="24.75" hidden="false" customHeight="true" outlineLevel="0" collapsed="false">
      <c r="A14" s="139" t="n">
        <f aca="false">ROW()-5</f>
        <v>9</v>
      </c>
      <c r="B14" s="140"/>
      <c r="C14" s="117"/>
      <c r="D14" s="128"/>
      <c r="E14" s="141"/>
      <c r="F14" s="141"/>
      <c r="G14" s="143"/>
      <c r="H14" s="144"/>
      <c r="I14" s="141"/>
      <c r="J14" s="145"/>
      <c r="K14" s="80"/>
      <c r="L14" s="80"/>
    </row>
    <row r="15" customFormat="false" ht="24.75" hidden="false" customHeight="true" outlineLevel="0" collapsed="false">
      <c r="A15" s="139" t="n">
        <f aca="false">ROW()-5</f>
        <v>10</v>
      </c>
      <c r="B15" s="140"/>
      <c r="C15" s="117"/>
      <c r="D15" s="128"/>
      <c r="E15" s="141"/>
      <c r="F15" s="141"/>
      <c r="G15" s="143"/>
      <c r="H15" s="144"/>
      <c r="I15" s="141"/>
      <c r="J15" s="145"/>
      <c r="K15" s="80"/>
      <c r="L15" s="80"/>
    </row>
    <row r="16" customFormat="false" ht="24.75" hidden="false" customHeight="true" outlineLevel="0" collapsed="false">
      <c r="A16" s="139" t="n">
        <f aca="false">ROW()-5</f>
        <v>11</v>
      </c>
      <c r="B16" s="140"/>
      <c r="C16" s="117"/>
      <c r="D16" s="128"/>
      <c r="E16" s="141"/>
      <c r="F16" s="141"/>
      <c r="G16" s="143"/>
      <c r="H16" s="144"/>
      <c r="I16" s="141"/>
      <c r="J16" s="146"/>
      <c r="K16" s="145"/>
      <c r="L16" s="80"/>
    </row>
    <row r="17" s="149" customFormat="true" ht="24.75" hidden="false" customHeight="true" outlineLevel="0" collapsed="false">
      <c r="A17" s="139" t="n">
        <f aca="false">ROW()-5</f>
        <v>12</v>
      </c>
      <c r="B17" s="140"/>
      <c r="C17" s="125"/>
      <c r="D17" s="147"/>
      <c r="E17" s="148"/>
      <c r="F17" s="139"/>
      <c r="G17" s="143"/>
      <c r="H17" s="144"/>
      <c r="I17" s="148"/>
      <c r="J17" s="148"/>
      <c r="K17" s="148"/>
      <c r="L17" s="139"/>
    </row>
    <row r="18" customFormat="false" ht="24.75" hidden="false" customHeight="true" outlineLevel="0" collapsed="false">
      <c r="A18" s="139" t="n">
        <f aca="false">ROW()-5</f>
        <v>13</v>
      </c>
      <c r="B18" s="140"/>
      <c r="C18" s="145"/>
      <c r="D18" s="150"/>
      <c r="E18" s="141"/>
      <c r="F18" s="141"/>
      <c r="G18" s="143"/>
      <c r="H18" s="144"/>
      <c r="I18" s="141"/>
      <c r="J18" s="146"/>
      <c r="K18" s="80"/>
      <c r="L18" s="80"/>
    </row>
    <row r="19" customFormat="false" ht="24.75" hidden="false" customHeight="true" outlineLevel="0" collapsed="false">
      <c r="A19" s="139" t="n">
        <f aca="false">ROW()-5</f>
        <v>14</v>
      </c>
      <c r="B19" s="140"/>
      <c r="C19" s="145"/>
      <c r="D19" s="150"/>
      <c r="E19" s="141"/>
      <c r="F19" s="141"/>
      <c r="G19" s="143"/>
      <c r="H19" s="144"/>
      <c r="I19" s="141"/>
      <c r="J19" s="146"/>
      <c r="K19" s="80"/>
      <c r="L19" s="80"/>
    </row>
    <row r="20" customFormat="false" ht="24.75" hidden="false" customHeight="true" outlineLevel="0" collapsed="false">
      <c r="A20" s="139" t="n">
        <f aca="false">ROW()-5</f>
        <v>15</v>
      </c>
      <c r="B20" s="140"/>
      <c r="C20" s="145"/>
      <c r="D20" s="150"/>
      <c r="E20" s="141"/>
      <c r="F20" s="141"/>
      <c r="G20" s="143"/>
      <c r="H20" s="144"/>
      <c r="I20" s="141"/>
      <c r="J20" s="146"/>
      <c r="K20" s="80"/>
      <c r="L20" s="80"/>
    </row>
    <row r="21" customFormat="false" ht="24.75" hidden="false" customHeight="true" outlineLevel="0" collapsed="false">
      <c r="A21" s="139" t="n">
        <f aca="false">ROW()-5</f>
        <v>16</v>
      </c>
      <c r="B21" s="140"/>
      <c r="C21" s="146"/>
      <c r="D21" s="151"/>
      <c r="E21" s="141"/>
      <c r="F21" s="141"/>
      <c r="G21" s="143"/>
      <c r="H21" s="144"/>
      <c r="I21" s="141"/>
      <c r="J21" s="146"/>
      <c r="K21" s="80"/>
      <c r="L21" s="80"/>
    </row>
    <row r="22" customFormat="false" ht="24.75" hidden="false" customHeight="true" outlineLevel="0" collapsed="false">
      <c r="A22" s="139" t="n">
        <f aca="false">ROW()-5</f>
        <v>17</v>
      </c>
      <c r="B22" s="140"/>
      <c r="C22" s="145"/>
      <c r="D22" s="150"/>
      <c r="E22" s="141"/>
      <c r="F22" s="141"/>
      <c r="G22" s="143"/>
      <c r="H22" s="144"/>
      <c r="I22" s="141"/>
      <c r="J22" s="146"/>
      <c r="K22" s="80"/>
      <c r="L22" s="80"/>
    </row>
    <row r="23" customFormat="false" ht="24.75" hidden="false" customHeight="true" outlineLevel="0" collapsed="false">
      <c r="A23" s="139" t="n">
        <f aca="false">ROW()-5</f>
        <v>18</v>
      </c>
      <c r="B23" s="152"/>
      <c r="C23" s="146"/>
      <c r="D23" s="151"/>
      <c r="E23" s="141"/>
      <c r="F23" s="141"/>
      <c r="G23" s="143"/>
      <c r="H23" s="144"/>
      <c r="I23" s="141"/>
      <c r="J23" s="146"/>
      <c r="K23" s="80"/>
      <c r="L23" s="80"/>
    </row>
    <row r="24" customFormat="false" ht="24.75" hidden="false" customHeight="true" outlineLevel="0" collapsed="false">
      <c r="A24" s="139" t="n">
        <f aca="false">ROW()-5</f>
        <v>19</v>
      </c>
      <c r="B24" s="152"/>
      <c r="C24" s="146"/>
      <c r="D24" s="151"/>
      <c r="E24" s="141"/>
      <c r="F24" s="141"/>
      <c r="G24" s="143"/>
      <c r="H24" s="144"/>
      <c r="I24" s="141"/>
      <c r="J24" s="146"/>
      <c r="K24" s="80"/>
      <c r="L24" s="80"/>
    </row>
    <row r="25" customFormat="false" ht="24.75" hidden="false" customHeight="true" outlineLevel="0" collapsed="false">
      <c r="A25" s="139" t="n">
        <f aca="false">ROW()-5</f>
        <v>20</v>
      </c>
      <c r="B25" s="152"/>
      <c r="C25" s="146"/>
      <c r="D25" s="151"/>
      <c r="E25" s="141"/>
      <c r="F25" s="141"/>
      <c r="G25" s="143"/>
      <c r="H25" s="144"/>
      <c r="I25" s="141"/>
      <c r="J25" s="146"/>
      <c r="K25" s="80"/>
      <c r="L25" s="80"/>
    </row>
    <row r="26" customFormat="false" ht="24.75" hidden="false" customHeight="true" outlineLevel="0" collapsed="false">
      <c r="A26" s="139" t="n">
        <f aca="false">ROW()-5</f>
        <v>21</v>
      </c>
      <c r="B26" s="152"/>
      <c r="C26" s="146"/>
      <c r="D26" s="151"/>
      <c r="E26" s="141"/>
      <c r="F26" s="141"/>
      <c r="G26" s="143"/>
      <c r="H26" s="144"/>
      <c r="I26" s="141"/>
      <c r="J26" s="146"/>
      <c r="K26" s="80"/>
      <c r="L26" s="80"/>
    </row>
    <row r="27" customFormat="false" ht="24.75" hidden="false" customHeight="true" outlineLevel="0" collapsed="false">
      <c r="A27" s="139" t="n">
        <f aca="false">ROW()-5</f>
        <v>22</v>
      </c>
      <c r="B27" s="152"/>
      <c r="C27" s="146"/>
      <c r="D27" s="151"/>
      <c r="E27" s="141"/>
      <c r="F27" s="141"/>
      <c r="G27" s="143"/>
      <c r="H27" s="144"/>
      <c r="I27" s="141"/>
      <c r="J27" s="146"/>
      <c r="K27" s="80"/>
      <c r="L27" s="80"/>
    </row>
    <row r="28" customFormat="false" ht="24.75" hidden="false" customHeight="true" outlineLevel="0" collapsed="false">
      <c r="A28" s="139" t="n">
        <f aca="false">ROW()-5</f>
        <v>23</v>
      </c>
      <c r="B28" s="152"/>
      <c r="C28" s="146"/>
      <c r="D28" s="151"/>
      <c r="E28" s="141"/>
      <c r="F28" s="141"/>
      <c r="G28" s="143"/>
      <c r="H28" s="144"/>
      <c r="I28" s="141"/>
      <c r="J28" s="146"/>
      <c r="K28" s="80"/>
      <c r="L28" s="80"/>
    </row>
    <row r="29" customFormat="false" ht="24.75" hidden="false" customHeight="true" outlineLevel="0" collapsed="false">
      <c r="A29" s="139" t="n">
        <f aca="false">ROW()-5</f>
        <v>24</v>
      </c>
      <c r="B29" s="152"/>
      <c r="C29" s="146"/>
      <c r="D29" s="151"/>
      <c r="E29" s="141"/>
      <c r="F29" s="141"/>
      <c r="G29" s="143"/>
      <c r="H29" s="144"/>
      <c r="I29" s="141"/>
      <c r="J29" s="146"/>
      <c r="K29" s="80"/>
      <c r="L29" s="80"/>
    </row>
    <row r="30" customFormat="false" ht="24.75" hidden="false" customHeight="true" outlineLevel="0" collapsed="false">
      <c r="A30" s="139" t="n">
        <f aca="false">ROW()-5</f>
        <v>25</v>
      </c>
      <c r="B30" s="152"/>
      <c r="C30" s="146"/>
      <c r="D30" s="151"/>
      <c r="E30" s="141"/>
      <c r="F30" s="141"/>
      <c r="G30" s="143"/>
      <c r="H30" s="144"/>
      <c r="I30" s="141"/>
      <c r="J30" s="146"/>
      <c r="K30" s="80"/>
      <c r="L30" s="80"/>
    </row>
    <row r="31" customFormat="false" ht="24.75" hidden="false" customHeight="true" outlineLevel="0" collapsed="false">
      <c r="A31" s="139" t="n">
        <f aca="false">ROW()-5</f>
        <v>26</v>
      </c>
      <c r="B31" s="152"/>
      <c r="C31" s="146"/>
      <c r="D31" s="151"/>
      <c r="E31" s="141"/>
      <c r="F31" s="141"/>
      <c r="G31" s="143"/>
      <c r="H31" s="144"/>
      <c r="I31" s="141"/>
      <c r="J31" s="146"/>
      <c r="K31" s="80"/>
      <c r="L31" s="80"/>
    </row>
    <row r="32" customFormat="false" ht="24.75" hidden="false" customHeight="true" outlineLevel="0" collapsed="false">
      <c r="A32" s="139" t="n">
        <f aca="false">ROW()-5</f>
        <v>27</v>
      </c>
      <c r="B32" s="152"/>
      <c r="C32" s="146"/>
      <c r="D32" s="151"/>
      <c r="E32" s="141"/>
      <c r="F32" s="141"/>
      <c r="G32" s="143"/>
      <c r="H32" s="144"/>
      <c r="I32" s="141"/>
      <c r="J32" s="146"/>
      <c r="K32" s="80"/>
      <c r="L32" s="80"/>
    </row>
    <row r="33" customFormat="false" ht="24.75" hidden="false" customHeight="true" outlineLevel="0" collapsed="false">
      <c r="A33" s="139" t="n">
        <f aca="false">ROW()-5</f>
        <v>28</v>
      </c>
      <c r="B33" s="152"/>
      <c r="C33" s="146"/>
      <c r="D33" s="151"/>
      <c r="E33" s="141"/>
      <c r="F33" s="141"/>
      <c r="G33" s="143"/>
      <c r="H33" s="144"/>
      <c r="I33" s="141"/>
      <c r="J33" s="146"/>
      <c r="K33" s="80"/>
      <c r="L33" s="80"/>
    </row>
    <row r="34" customFormat="false" ht="24.75" hidden="false" customHeight="true" outlineLevel="0" collapsed="false">
      <c r="A34" s="153"/>
      <c r="B34" s="109"/>
      <c r="C34" s="109"/>
      <c r="D34" s="153"/>
      <c r="E34" s="154"/>
      <c r="F34" s="154"/>
      <c r="G34" s="155"/>
      <c r="H34" s="103"/>
      <c r="I34" s="154"/>
      <c r="J34" s="109"/>
      <c r="K34" s="109"/>
      <c r="L34" s="109"/>
      <c r="BD34" s="156" t="s">
        <v>181</v>
      </c>
      <c r="BE34" s="156"/>
      <c r="BF34" s="156"/>
    </row>
    <row r="35" customFormat="false" ht="26.25" hidden="false" customHeight="true" outlineLevel="0" collapsed="false">
      <c r="A35" s="153"/>
      <c r="B35" s="109"/>
      <c r="C35" s="109"/>
      <c r="D35" s="153"/>
      <c r="E35" s="154"/>
      <c r="F35" s="154"/>
      <c r="G35" s="155"/>
      <c r="H35" s="103"/>
      <c r="I35" s="154"/>
      <c r="J35" s="109"/>
      <c r="K35" s="109"/>
      <c r="L35" s="109"/>
      <c r="BD35" s="157"/>
      <c r="BE35" s="157" t="s">
        <v>137</v>
      </c>
      <c r="BF35" s="157" t="s">
        <v>138</v>
      </c>
    </row>
    <row r="36" customFormat="false" ht="26.25" hidden="false" customHeight="true" outlineLevel="0" collapsed="false">
      <c r="A36" s="153"/>
      <c r="B36" s="109"/>
      <c r="C36" s="109"/>
      <c r="D36" s="153"/>
      <c r="E36" s="154"/>
      <c r="F36" s="154"/>
      <c r="G36" s="155"/>
      <c r="H36" s="103"/>
      <c r="I36" s="154"/>
      <c r="J36" s="109"/>
      <c r="K36" s="109"/>
      <c r="L36" s="109"/>
      <c r="BD36" s="157" t="s">
        <v>182</v>
      </c>
      <c r="BE36" s="158" t="n">
        <f aca="false">COUNTIF(H5:H33,"Completed")</f>
        <v>0</v>
      </c>
      <c r="BF36" s="159" t="n">
        <f aca="false">BE36/(BE$41)</f>
        <v>0</v>
      </c>
    </row>
    <row r="37" customFormat="false" ht="26.25" hidden="false" customHeight="true" outlineLevel="0" collapsed="false">
      <c r="A37" s="153"/>
      <c r="B37" s="109"/>
      <c r="C37" s="109"/>
      <c r="D37" s="153"/>
      <c r="E37" s="154"/>
      <c r="F37" s="154"/>
      <c r="G37" s="155"/>
      <c r="H37" s="103"/>
      <c r="I37" s="154"/>
      <c r="J37" s="109"/>
      <c r="K37" s="109"/>
      <c r="L37" s="109"/>
      <c r="BD37" s="157" t="s">
        <v>21</v>
      </c>
      <c r="BE37" s="158" t="n">
        <f aca="false">COUNTIF(H5:H33,"In Progress")</f>
        <v>5</v>
      </c>
      <c r="BF37" s="159" t="n">
        <f aca="false">BE37/(BE$41)</f>
        <v>1</v>
      </c>
    </row>
    <row r="38" customFormat="false" ht="26.25" hidden="false" customHeight="true" outlineLevel="0" collapsed="false">
      <c r="A38" s="153"/>
      <c r="B38" s="109"/>
      <c r="C38" s="109"/>
      <c r="D38" s="153"/>
      <c r="E38" s="154"/>
      <c r="F38" s="154"/>
      <c r="G38" s="155"/>
      <c r="H38" s="103"/>
      <c r="I38" s="154"/>
      <c r="J38" s="109"/>
      <c r="K38" s="109"/>
      <c r="L38" s="109"/>
      <c r="BD38" s="157" t="s">
        <v>23</v>
      </c>
      <c r="BE38" s="158" t="n">
        <f aca="false">COUNTIF(H5:H33,"Delayed")</f>
        <v>0</v>
      </c>
      <c r="BF38" s="159" t="n">
        <f aca="false">BE38/(BE$41)</f>
        <v>0</v>
      </c>
    </row>
    <row r="39" customFormat="false" ht="26.25" hidden="false" customHeight="true" outlineLevel="0" collapsed="false">
      <c r="A39" s="153"/>
      <c r="B39" s="109"/>
      <c r="C39" s="109"/>
      <c r="D39" s="153"/>
      <c r="E39" s="154"/>
      <c r="F39" s="154"/>
      <c r="G39" s="155"/>
      <c r="H39" s="103"/>
      <c r="I39" s="154"/>
      <c r="J39" s="109"/>
      <c r="K39" s="109"/>
      <c r="L39" s="109"/>
      <c r="BD39" s="157" t="s">
        <v>24</v>
      </c>
      <c r="BE39" s="158" t="n">
        <f aca="false">COUNTIF(H5:H33,"Not Started")</f>
        <v>0</v>
      </c>
      <c r="BF39" s="159" t="n">
        <f aca="false">BE39/(BE$41)</f>
        <v>0</v>
      </c>
    </row>
    <row r="40" customFormat="false" ht="26.25" hidden="false" customHeight="true" outlineLevel="0" collapsed="false">
      <c r="A40" s="153"/>
      <c r="B40" s="109"/>
      <c r="C40" s="109"/>
      <c r="D40" s="153"/>
      <c r="E40" s="154"/>
      <c r="F40" s="154"/>
      <c r="G40" s="155"/>
      <c r="H40" s="103"/>
      <c r="I40" s="154"/>
      <c r="J40" s="109"/>
      <c r="K40" s="109"/>
      <c r="L40" s="109"/>
      <c r="BD40" s="157"/>
      <c r="BE40" s="158"/>
      <c r="BF40" s="159"/>
    </row>
    <row r="41" customFormat="false" ht="26.25" hidden="false" customHeight="true" outlineLevel="0" collapsed="false">
      <c r="A41" s="153"/>
      <c r="B41" s="109"/>
      <c r="C41" s="109"/>
      <c r="D41" s="153"/>
      <c r="E41" s="154"/>
      <c r="F41" s="154"/>
      <c r="G41" s="155"/>
      <c r="H41" s="103"/>
      <c r="I41" s="154"/>
      <c r="J41" s="109"/>
      <c r="K41" s="109"/>
      <c r="L41" s="109"/>
      <c r="BD41" s="160" t="s">
        <v>139</v>
      </c>
      <c r="BE41" s="161" t="n">
        <f aca="false">SUM(BE36:BE39)</f>
        <v>5</v>
      </c>
      <c r="BF41" s="161"/>
    </row>
    <row r="42" customFormat="false" ht="22.5" hidden="false" customHeight="true" outlineLevel="0" collapsed="false">
      <c r="A42" s="153"/>
      <c r="B42" s="109"/>
      <c r="C42" s="109"/>
      <c r="D42" s="153"/>
      <c r="E42" s="154"/>
      <c r="F42" s="154"/>
      <c r="G42" s="155"/>
      <c r="H42" s="103"/>
      <c r="I42" s="154"/>
      <c r="J42" s="109"/>
      <c r="K42" s="109"/>
      <c r="L42" s="109"/>
    </row>
    <row r="43" customFormat="false" ht="22.5" hidden="false" customHeight="true" outlineLevel="0" collapsed="false">
      <c r="A43" s="153"/>
      <c r="B43" s="109"/>
      <c r="C43" s="109"/>
      <c r="D43" s="153"/>
      <c r="E43" s="154"/>
      <c r="F43" s="154"/>
      <c r="G43" s="155"/>
      <c r="H43" s="103"/>
      <c r="I43" s="154"/>
      <c r="J43" s="109"/>
      <c r="K43" s="109"/>
      <c r="L43" s="109"/>
    </row>
    <row r="44" customFormat="false" ht="22.5" hidden="false" customHeight="true" outlineLevel="0" collapsed="false">
      <c r="A44" s="153"/>
      <c r="B44" s="109"/>
      <c r="C44" s="109"/>
      <c r="D44" s="153"/>
      <c r="E44" s="154"/>
      <c r="F44" s="154"/>
      <c r="G44" s="155"/>
      <c r="H44" s="103"/>
      <c r="I44" s="154"/>
      <c r="J44" s="109"/>
      <c r="K44" s="109"/>
      <c r="L44" s="109"/>
    </row>
    <row r="45" customFormat="false" ht="22.5" hidden="false" customHeight="true" outlineLevel="0" collapsed="false">
      <c r="A45" s="153"/>
      <c r="B45" s="109"/>
      <c r="C45" s="109"/>
      <c r="D45" s="153"/>
      <c r="E45" s="154"/>
      <c r="F45" s="154"/>
      <c r="G45" s="155"/>
      <c r="H45" s="103"/>
      <c r="I45" s="154"/>
      <c r="J45" s="109"/>
      <c r="K45" s="109"/>
      <c r="L45" s="109"/>
    </row>
    <row r="46" customFormat="false" ht="22.5" hidden="false" customHeight="true" outlineLevel="0" collapsed="false">
      <c r="A46" s="153"/>
      <c r="B46" s="109"/>
      <c r="C46" s="109"/>
      <c r="D46" s="153"/>
      <c r="E46" s="154"/>
      <c r="F46" s="154"/>
      <c r="G46" s="155"/>
      <c r="H46" s="103"/>
      <c r="I46" s="154"/>
      <c r="J46" s="109"/>
      <c r="K46" s="109"/>
      <c r="L46" s="109"/>
    </row>
    <row r="47" customFormat="false" ht="22.5" hidden="false" customHeight="true" outlineLevel="0" collapsed="false">
      <c r="A47" s="153"/>
      <c r="B47" s="109"/>
      <c r="C47" s="109"/>
      <c r="D47" s="153"/>
      <c r="E47" s="154"/>
      <c r="F47" s="154"/>
      <c r="G47" s="155"/>
      <c r="H47" s="103"/>
      <c r="I47" s="154"/>
      <c r="J47" s="109"/>
      <c r="K47" s="109"/>
      <c r="L47" s="109"/>
    </row>
    <row r="48" customFormat="false" ht="22.5" hidden="false" customHeight="true" outlineLevel="0" collapsed="false">
      <c r="A48" s="153"/>
      <c r="B48" s="109"/>
      <c r="C48" s="109"/>
      <c r="D48" s="153"/>
      <c r="E48" s="154"/>
      <c r="F48" s="154"/>
      <c r="G48" s="155"/>
      <c r="H48" s="103"/>
      <c r="I48" s="154"/>
      <c r="J48" s="109"/>
      <c r="K48" s="109"/>
      <c r="L48" s="109"/>
    </row>
    <row r="49" customFormat="false" ht="22.5" hidden="false" customHeight="true" outlineLevel="0" collapsed="false">
      <c r="A49" s="153"/>
      <c r="B49" s="109"/>
      <c r="C49" s="109"/>
      <c r="D49" s="153"/>
      <c r="E49" s="154"/>
      <c r="F49" s="154"/>
      <c r="G49" s="155"/>
      <c r="H49" s="103"/>
      <c r="I49" s="154"/>
      <c r="J49" s="109"/>
      <c r="K49" s="109"/>
      <c r="L49" s="109"/>
    </row>
    <row r="50" customFormat="false" ht="22.5" hidden="false" customHeight="true" outlineLevel="0" collapsed="false">
      <c r="A50" s="153"/>
      <c r="B50" s="109"/>
      <c r="C50" s="109"/>
      <c r="D50" s="153"/>
      <c r="E50" s="154"/>
      <c r="F50" s="154"/>
      <c r="G50" s="155"/>
      <c r="H50" s="103"/>
      <c r="I50" s="154"/>
      <c r="J50" s="109"/>
      <c r="K50" s="109"/>
      <c r="L50" s="109"/>
    </row>
    <row r="51" customFormat="false" ht="22.5" hidden="false" customHeight="true" outlineLevel="0" collapsed="false">
      <c r="A51" s="153"/>
      <c r="B51" s="109"/>
      <c r="C51" s="109"/>
      <c r="D51" s="153"/>
      <c r="E51" s="154"/>
      <c r="F51" s="154"/>
      <c r="G51" s="155"/>
      <c r="H51" s="103"/>
      <c r="I51" s="154"/>
      <c r="J51" s="109"/>
      <c r="K51" s="109"/>
      <c r="L51" s="109"/>
    </row>
    <row r="52" customFormat="false" ht="22.5" hidden="false" customHeight="true" outlineLevel="0" collapsed="false">
      <c r="A52" s="153"/>
      <c r="B52" s="109"/>
      <c r="C52" s="109"/>
      <c r="D52" s="153"/>
      <c r="E52" s="154"/>
      <c r="F52" s="154"/>
      <c r="G52" s="155"/>
      <c r="H52" s="103"/>
      <c r="I52" s="154"/>
      <c r="J52" s="109"/>
      <c r="K52" s="109"/>
      <c r="L52" s="109"/>
    </row>
    <row r="53" customFormat="false" ht="22.5" hidden="false" customHeight="true" outlineLevel="0" collapsed="false">
      <c r="A53" s="153"/>
      <c r="B53" s="109"/>
      <c r="C53" s="109"/>
      <c r="D53" s="153"/>
      <c r="E53" s="154"/>
      <c r="F53" s="154"/>
      <c r="G53" s="155"/>
      <c r="H53" s="103"/>
      <c r="I53" s="154"/>
      <c r="J53" s="109"/>
      <c r="K53" s="109"/>
      <c r="L53" s="109"/>
    </row>
    <row r="54" customFormat="false" ht="22.5" hidden="false" customHeight="true" outlineLevel="0" collapsed="false">
      <c r="A54" s="153"/>
      <c r="B54" s="109"/>
      <c r="C54" s="109"/>
      <c r="D54" s="153"/>
      <c r="E54" s="154"/>
      <c r="F54" s="154"/>
      <c r="G54" s="155"/>
      <c r="H54" s="103"/>
      <c r="I54" s="154"/>
      <c r="J54" s="109"/>
      <c r="K54" s="109"/>
      <c r="L54" s="109"/>
    </row>
    <row r="55" customFormat="false" ht="22.5" hidden="false" customHeight="true" outlineLevel="0" collapsed="false">
      <c r="A55" s="153"/>
      <c r="B55" s="109"/>
      <c r="C55" s="109"/>
      <c r="D55" s="153"/>
      <c r="E55" s="154"/>
      <c r="F55" s="154"/>
      <c r="G55" s="155"/>
      <c r="H55" s="103"/>
      <c r="I55" s="154"/>
      <c r="J55" s="109"/>
      <c r="K55" s="109"/>
      <c r="L55" s="109"/>
    </row>
    <row r="56" customFormat="false" ht="22.5" hidden="false" customHeight="true" outlineLevel="0" collapsed="false">
      <c r="A56" s="153"/>
      <c r="B56" s="109"/>
      <c r="C56" s="109"/>
      <c r="D56" s="153"/>
      <c r="E56" s="154"/>
      <c r="F56" s="154"/>
      <c r="G56" s="155"/>
      <c r="H56" s="103"/>
      <c r="I56" s="154"/>
      <c r="J56" s="109"/>
      <c r="K56" s="109"/>
      <c r="L56" s="109"/>
    </row>
    <row r="57" customFormat="false" ht="22.5" hidden="false" customHeight="true" outlineLevel="0" collapsed="false">
      <c r="A57" s="153"/>
      <c r="B57" s="109"/>
      <c r="C57" s="109"/>
      <c r="D57" s="153"/>
      <c r="E57" s="154"/>
      <c r="F57" s="154"/>
      <c r="G57" s="155"/>
      <c r="H57" s="103"/>
      <c r="I57" s="154"/>
      <c r="J57" s="109"/>
      <c r="K57" s="109"/>
      <c r="L57" s="109"/>
    </row>
    <row r="58" customFormat="false" ht="22.5" hidden="false" customHeight="true" outlineLevel="0" collapsed="false">
      <c r="A58" s="153"/>
      <c r="B58" s="109"/>
      <c r="C58" s="109"/>
      <c r="D58" s="153"/>
      <c r="E58" s="154"/>
      <c r="F58" s="154"/>
      <c r="G58" s="155"/>
      <c r="H58" s="103"/>
      <c r="I58" s="154"/>
      <c r="J58" s="109"/>
      <c r="K58" s="109"/>
      <c r="L58" s="109"/>
    </row>
    <row r="59" customFormat="false" ht="22.5" hidden="false" customHeight="true" outlineLevel="0" collapsed="false">
      <c r="A59" s="153"/>
      <c r="B59" s="109"/>
      <c r="C59" s="109"/>
      <c r="D59" s="153"/>
      <c r="E59" s="154"/>
      <c r="F59" s="154"/>
      <c r="G59" s="155"/>
      <c r="H59" s="103"/>
      <c r="I59" s="154"/>
      <c r="J59" s="109"/>
      <c r="K59" s="109"/>
      <c r="L59" s="109"/>
    </row>
    <row r="60" customFormat="false" ht="22.5" hidden="false" customHeight="true" outlineLevel="0" collapsed="false">
      <c r="A60" s="153"/>
      <c r="B60" s="109"/>
      <c r="C60" s="109"/>
      <c r="D60" s="153"/>
      <c r="E60" s="154"/>
      <c r="F60" s="154"/>
      <c r="G60" s="155"/>
      <c r="H60" s="103"/>
      <c r="I60" s="154"/>
      <c r="J60" s="109"/>
      <c r="K60" s="109"/>
      <c r="L60" s="109"/>
    </row>
    <row r="61" customFormat="false" ht="22.5" hidden="false" customHeight="true" outlineLevel="0" collapsed="false">
      <c r="A61" s="153"/>
      <c r="B61" s="109"/>
      <c r="C61" s="109"/>
      <c r="D61" s="153"/>
      <c r="E61" s="154"/>
      <c r="F61" s="154"/>
      <c r="G61" s="155"/>
      <c r="H61" s="103"/>
      <c r="I61" s="154"/>
      <c r="J61" s="109"/>
      <c r="K61" s="109"/>
      <c r="L61" s="109"/>
    </row>
    <row r="62" customFormat="false" ht="22.5" hidden="false" customHeight="true" outlineLevel="0" collapsed="false">
      <c r="A62" s="153"/>
      <c r="B62" s="109"/>
      <c r="C62" s="109"/>
      <c r="D62" s="153"/>
      <c r="E62" s="154"/>
      <c r="F62" s="154"/>
      <c r="G62" s="155"/>
      <c r="H62" s="103"/>
      <c r="I62" s="154"/>
      <c r="J62" s="109"/>
      <c r="K62" s="109"/>
      <c r="L62" s="109"/>
    </row>
  </sheetData>
  <mergeCells count="2">
    <mergeCell ref="A1:G2"/>
    <mergeCell ref="BD34:BF34"/>
  </mergeCells>
  <conditionalFormatting sqref="H5:H33">
    <cfRule type="containsText" priority="2" operator="containsText" aboveAverage="0" equalAverage="0" bottom="0" percent="0" rank="0" text="Not Started" dxfId="0">
      <formula>NOT(ISERROR(SEARCH("Not Started",H5)))</formula>
    </cfRule>
    <cfRule type="containsText" priority="3" operator="containsText" aboveAverage="0" equalAverage="0" bottom="0" percent="0" rank="0" text="Delayed" dxfId="3">
      <formula>NOT(ISERROR(SEARCH("Delayed",H5)))</formula>
    </cfRule>
    <cfRule type="containsText" priority="4" operator="containsText" aboveAverage="0" equalAverage="0" bottom="0" percent="0" rank="0" text="In progress" dxfId="1">
      <formula>NOT(ISERROR(SEARCH("In progress",H5)))</formula>
    </cfRule>
    <cfRule type="containsText" priority="5" operator="containsText" aboveAverage="0" equalAverage="0" bottom="0" percent="0" rank="0" text="Completed" dxfId="2">
      <formula>NOT(ISERROR(SEARCH("Completed",H5)))</formula>
    </cfRule>
  </conditionalFormatting>
  <conditionalFormatting sqref="H1:H4 H34:H1048576">
    <cfRule type="containsText" priority="6" operator="containsText" aboveAverage="0" equalAverage="0" bottom="0" percent="0" rank="0" text="not started" dxfId="0">
      <formula>NOT(ISERROR(SEARCH("not started",H1)))</formula>
    </cfRule>
    <cfRule type="containsText" priority="7" operator="containsText" aboveAverage="0" equalAverage="0" bottom="0" percent="0" rank="0" text="In Progress" dxfId="1">
      <formula>NOT(ISERROR(SEARCH("In Progress",H1)))</formula>
    </cfRule>
    <cfRule type="containsText" priority="8" operator="containsText" aboveAverage="0" equalAverage="0" bottom="0" percent="0" rank="0" text="completed" dxfId="2">
      <formula>NOT(ISERROR(SEARCH("completed",H1)))</formula>
    </cfRule>
    <cfRule type="containsText" priority="9" operator="containsText" aboveAverage="0" equalAverage="0" bottom="0" percent="0" rank="0" text="Pending" dxfId="3">
      <formula>NOT(ISERROR(SEARCH("Pending",H1)))</formula>
    </cfRule>
  </conditionalFormatting>
  <dataValidations count="6">
    <dataValidation allowBlank="true" errorStyle="stop" operator="between" showDropDown="false" showErrorMessage="false" showInputMessage="false" sqref="D5:D33" type="list">
      <formula1>"Annual,Quarterly,Monthly,Weekly"</formula1>
      <formula2>0</formula2>
    </dataValidation>
    <dataValidation allowBlank="true" errorStyle="stop" operator="between" showDropDown="false" showErrorMessage="false" showInputMessage="false" sqref="E5:E33" type="list">
      <formula1>"Performance Analyst ,Data Analyst ,HASTT,AI"</formula1>
      <formula2>0</formula2>
    </dataValidation>
    <dataValidation allowBlank="true" errorStyle="stop" operator="between" showDropDown="false" showErrorMessage="false" showInputMessage="false" sqref="H5:H33" type="list">
      <formula1>"Completed,In Progress,Delayed,Not Started"</formula1>
      <formula2>0</formula2>
    </dataValidation>
    <dataValidation allowBlank="true" errorStyle="stop" operator="between" showDropDown="false" showErrorMessage="false" showInputMessage="false" sqref="I5:I33" type="list">
      <formula1>"Critical,High,Medium,Low"</formula1>
      <formula2>0</formula2>
    </dataValidation>
    <dataValidation allowBlank="true" errorStyle="stop" operator="between" showDropDown="false" showErrorMessage="false" showInputMessage="false" sqref="J5:J33" type="list">
      <formula1>"م. علي الزهراني,أ. فيصل الرحيمي,م. حمادي الشعائره,أ. صفا الشهري,أ. صالحة المالكي,أ. نورة التركي,أ. رهف جباري,أ. محمد القحطاني,أ. تركي السلمان,أ. ريما الفهيد"</formula1>
      <formula2>0</formula2>
    </dataValidation>
    <dataValidation allowBlank="true" errorStyle="stop" operator="between" showDropDown="false" showErrorMessage="false" showInputMessage="false" sqref="K5:K33" type="list">
      <formula1>"م. علي الزهراني,أ. فيصل الرحيمي,م. حمادي الشعائره,أ. صفا الشهري,أ. صالحة المالكي,أ. نورة التركي,أ. رهف جباري,أ. محمد القحطاني,أ. تركي السلمان,أ. ريما الفهيد"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F32"/>
  <sheetViews>
    <sheetView showFormulas="false" showGridLines="false" showRowColHeaders="true" showZeros="true" rightToLeft="false" tabSelected="false" showOutlineSymbols="true" defaultGridColor="true" view="normal" topLeftCell="A1" colorId="64" zoomScale="80" zoomScaleNormal="80" zoomScalePageLayoutView="100" workbookViewId="0">
      <selection pane="topLeft" activeCell="A1" activeCellId="0" sqref="A1"/>
    </sheetView>
  </sheetViews>
  <sheetFormatPr defaultColWidth="8.875" defaultRowHeight="18.75" zeroHeight="false" outlineLevelRow="0" outlineLevelCol="0"/>
  <cols>
    <col collapsed="false" customWidth="true" hidden="false" outlineLevel="0" max="1" min="1" style="13" width="9.94"/>
    <col collapsed="false" customWidth="true" hidden="false" outlineLevel="0" max="2" min="2" style="13" width="39.7"/>
    <col collapsed="false" customWidth="true" hidden="false" outlineLevel="0" max="3" min="3" style="13" width="27.58"/>
    <col collapsed="false" customWidth="true" hidden="false" outlineLevel="0" max="5" min="4" style="58" width="29.06"/>
    <col collapsed="false" customWidth="true" hidden="false" outlineLevel="0" max="6" min="6" style="13" width="18.96"/>
    <col collapsed="false" customWidth="true" hidden="false" outlineLevel="0" max="7" min="7" style="13" width="15.6"/>
    <col collapsed="false" customWidth="true" hidden="false" outlineLevel="0" max="8" min="8" style="58" width="20.05"/>
    <col collapsed="false" customWidth="true" hidden="false" outlineLevel="0" max="9" min="9" style="13" width="32.15"/>
    <col collapsed="false" customWidth="true" hidden="false" outlineLevel="0" max="10" min="10" style="13" width="23.41"/>
    <col collapsed="false" customWidth="false" hidden="false" outlineLevel="0" max="11" min="11" style="13" width="8.87"/>
    <col collapsed="false" customWidth="true" hidden="false" outlineLevel="0" max="12" min="12" style="13" width="12.38"/>
    <col collapsed="false" customWidth="true" hidden="false" outlineLevel="0" max="13" min="13" style="13" width="13.86"/>
    <col collapsed="false" customWidth="false" hidden="false" outlineLevel="0" max="32" min="14" style="13" width="8.87"/>
    <col collapsed="false" customWidth="true" hidden="false" outlineLevel="0" max="33" min="33" style="13" width="12.11"/>
    <col collapsed="false" customWidth="false" hidden="false" outlineLevel="0" max="16384" min="34" style="13" width="8.87"/>
  </cols>
  <sheetData>
    <row r="1" customFormat="false" ht="30.75" hidden="false" customHeight="true" outlineLevel="0" collapsed="false">
      <c r="A1" s="59" t="s">
        <v>183</v>
      </c>
      <c r="B1" s="59"/>
      <c r="C1" s="59"/>
      <c r="D1" s="59"/>
      <c r="E1" s="59"/>
      <c r="F1" s="59"/>
      <c r="G1" s="59"/>
      <c r="H1" s="10"/>
      <c r="I1" s="9"/>
      <c r="J1" s="9"/>
    </row>
    <row r="2" customFormat="false" ht="24.75" hidden="false" customHeight="true" outlineLevel="0" collapsed="false">
      <c r="A2" s="59"/>
      <c r="B2" s="59"/>
      <c r="C2" s="59"/>
      <c r="D2" s="59"/>
      <c r="E2" s="59"/>
      <c r="F2" s="59"/>
      <c r="G2" s="59"/>
      <c r="H2" s="10"/>
      <c r="I2" s="9"/>
      <c r="J2" s="9"/>
    </row>
    <row r="5" s="138" customFormat="true" ht="52.5" hidden="false" customHeight="true" outlineLevel="0" collapsed="false">
      <c r="A5" s="134" t="s">
        <v>92</v>
      </c>
      <c r="B5" s="135" t="s">
        <v>184</v>
      </c>
      <c r="C5" s="135" t="s">
        <v>165</v>
      </c>
      <c r="D5" s="135" t="s">
        <v>185</v>
      </c>
      <c r="E5" s="135" t="s">
        <v>95</v>
      </c>
      <c r="F5" s="135" t="s">
        <v>166</v>
      </c>
      <c r="G5" s="135" t="s">
        <v>186</v>
      </c>
      <c r="H5" s="135" t="s">
        <v>187</v>
      </c>
      <c r="I5" s="135" t="s">
        <v>188</v>
      </c>
      <c r="J5" s="67" t="s">
        <v>105</v>
      </c>
      <c r="K5" s="137"/>
      <c r="L5" s="137"/>
      <c r="M5" s="137"/>
      <c r="N5" s="137"/>
      <c r="O5" s="137"/>
      <c r="P5" s="137"/>
      <c r="Q5" s="137"/>
      <c r="R5" s="137"/>
      <c r="S5" s="137"/>
      <c r="T5" s="137"/>
      <c r="U5" s="137"/>
      <c r="V5" s="137"/>
      <c r="W5" s="137"/>
      <c r="X5" s="137"/>
      <c r="Y5" s="137"/>
      <c r="Z5" s="137"/>
      <c r="AA5" s="137"/>
      <c r="AB5" s="137"/>
      <c r="AC5" s="137"/>
      <c r="AD5" s="137"/>
      <c r="AE5" s="137"/>
      <c r="AF5" s="137"/>
      <c r="AG5" s="137"/>
      <c r="AH5" s="156" t="s">
        <v>136</v>
      </c>
      <c r="AI5" s="156"/>
      <c r="AJ5" s="156"/>
      <c r="AK5" s="137"/>
      <c r="AL5" s="137"/>
      <c r="AM5" s="137"/>
      <c r="AN5" s="137"/>
      <c r="AO5" s="137"/>
      <c r="AP5" s="137"/>
      <c r="AQ5" s="137"/>
      <c r="AR5" s="137"/>
      <c r="AS5" s="137"/>
      <c r="AT5" s="137"/>
      <c r="AU5" s="137"/>
      <c r="AV5" s="137"/>
      <c r="AW5" s="137"/>
      <c r="AX5" s="137"/>
      <c r="AY5" s="137"/>
      <c r="AZ5" s="137"/>
      <c r="BA5" s="137"/>
      <c r="BB5" s="137"/>
      <c r="BC5" s="137"/>
      <c r="BD5" s="137"/>
      <c r="BE5" s="137"/>
      <c r="BF5" s="137"/>
    </row>
    <row r="6" customFormat="false" ht="26.25" hidden="false" customHeight="true" outlineLevel="0" collapsed="false">
      <c r="A6" s="139" t="n">
        <v>1</v>
      </c>
      <c r="B6" s="117" t="s">
        <v>189</v>
      </c>
      <c r="C6" s="117" t="s">
        <v>190</v>
      </c>
      <c r="D6" s="128" t="s">
        <v>36</v>
      </c>
      <c r="E6" s="128" t="s">
        <v>5</v>
      </c>
      <c r="F6" s="117" t="s">
        <v>19</v>
      </c>
      <c r="G6" s="162" t="s">
        <v>191</v>
      </c>
      <c r="H6" s="144" t="s">
        <v>25</v>
      </c>
      <c r="I6" s="80" t="s">
        <v>125</v>
      </c>
      <c r="J6" s="80" t="s">
        <v>192</v>
      </c>
      <c r="AG6" s="137"/>
      <c r="AH6" s="160" t="s">
        <v>137</v>
      </c>
      <c r="AI6" s="161" t="s">
        <v>138</v>
      </c>
      <c r="AJ6" s="163"/>
    </row>
    <row r="7" customFormat="false" ht="26.25" hidden="false" customHeight="true" outlineLevel="0" collapsed="false">
      <c r="A7" s="139" t="n">
        <v>2</v>
      </c>
      <c r="B7" s="124" t="s">
        <v>193</v>
      </c>
      <c r="C7" s="117" t="s">
        <v>194</v>
      </c>
      <c r="D7" s="128" t="s">
        <v>36</v>
      </c>
      <c r="E7" s="128" t="s">
        <v>5</v>
      </c>
      <c r="F7" s="117" t="s">
        <v>19</v>
      </c>
      <c r="G7" s="162" t="s">
        <v>195</v>
      </c>
      <c r="H7" s="144" t="s">
        <v>26</v>
      </c>
      <c r="I7" s="80" t="s">
        <v>125</v>
      </c>
      <c r="J7" s="80" t="s">
        <v>196</v>
      </c>
      <c r="AG7" s="164" t="s">
        <v>25</v>
      </c>
      <c r="AH7" s="161" t="n">
        <f aca="false">COUNTIF(H6:H27,"Done")</f>
        <v>3</v>
      </c>
      <c r="AI7" s="163" t="n">
        <f aca="false">IFERROR(AH7/AH9,0)</f>
        <v>0.428571428571429</v>
      </c>
      <c r="AJ7" s="163"/>
    </row>
    <row r="8" customFormat="false" ht="26.25" hidden="false" customHeight="true" outlineLevel="0" collapsed="false">
      <c r="A8" s="139" t="n">
        <v>3</v>
      </c>
      <c r="B8" s="117" t="s">
        <v>197</v>
      </c>
      <c r="C8" s="117" t="s">
        <v>198</v>
      </c>
      <c r="D8" s="128" t="s">
        <v>36</v>
      </c>
      <c r="E8" s="128" t="s">
        <v>5</v>
      </c>
      <c r="F8" s="117"/>
      <c r="G8" s="162" t="s">
        <v>199</v>
      </c>
      <c r="H8" s="144" t="s">
        <v>26</v>
      </c>
      <c r="I8" s="80" t="s">
        <v>125</v>
      </c>
      <c r="J8" s="80" t="s">
        <v>200</v>
      </c>
      <c r="AG8" s="137" t="s">
        <v>26</v>
      </c>
      <c r="AH8" s="160" t="n">
        <f aca="false">COUNTIF(H6:H27,"Not Done")</f>
        <v>4</v>
      </c>
      <c r="AI8" s="161" t="n">
        <f aca="false">IFERROR(AH8/AH9,0)</f>
        <v>0.571428571428571</v>
      </c>
      <c r="AJ8" s="163"/>
    </row>
    <row r="9" customFormat="false" ht="26.25" hidden="false" customHeight="true" outlineLevel="0" collapsed="false">
      <c r="A9" s="139" t="n">
        <v>4</v>
      </c>
      <c r="B9" s="124" t="s">
        <v>201</v>
      </c>
      <c r="C9" s="117" t="s">
        <v>202</v>
      </c>
      <c r="D9" s="128" t="s">
        <v>36</v>
      </c>
      <c r="E9" s="128" t="s">
        <v>5</v>
      </c>
      <c r="F9" s="117"/>
      <c r="G9" s="162" t="s">
        <v>199</v>
      </c>
      <c r="H9" s="144" t="s">
        <v>26</v>
      </c>
      <c r="I9" s="80" t="s">
        <v>125</v>
      </c>
      <c r="J9" s="80" t="s">
        <v>203</v>
      </c>
      <c r="AG9" s="164" t="s">
        <v>139</v>
      </c>
      <c r="AH9" s="161" t="n">
        <f aca="false">AH7+AH8</f>
        <v>7</v>
      </c>
      <c r="AI9" s="163"/>
      <c r="AJ9" s="163"/>
    </row>
    <row r="10" customFormat="false" ht="26.25" hidden="false" customHeight="true" outlineLevel="0" collapsed="false">
      <c r="A10" s="139" t="n">
        <v>5</v>
      </c>
      <c r="B10" s="117" t="s">
        <v>204</v>
      </c>
      <c r="C10" s="117" t="s">
        <v>205</v>
      </c>
      <c r="D10" s="128" t="s">
        <v>36</v>
      </c>
      <c r="E10" s="128" t="s">
        <v>5</v>
      </c>
      <c r="F10" s="117"/>
      <c r="G10" s="162" t="s">
        <v>206</v>
      </c>
      <c r="H10" s="144" t="s">
        <v>25</v>
      </c>
      <c r="I10" s="80" t="s">
        <v>130</v>
      </c>
      <c r="J10" s="80" t="s">
        <v>207</v>
      </c>
      <c r="AG10" s="137"/>
      <c r="AH10" s="160"/>
      <c r="AI10" s="161"/>
      <c r="AJ10" s="163"/>
    </row>
    <row r="11" customFormat="false" ht="26.25" hidden="false" customHeight="true" outlineLevel="0" collapsed="false">
      <c r="A11" s="139" t="n">
        <v>6</v>
      </c>
      <c r="B11" s="124" t="s">
        <v>208</v>
      </c>
      <c r="C11" s="117" t="s">
        <v>209</v>
      </c>
      <c r="D11" s="128" t="s">
        <v>35</v>
      </c>
      <c r="E11" s="128" t="s">
        <v>5</v>
      </c>
      <c r="F11" s="117"/>
      <c r="G11" s="162" t="s">
        <v>210</v>
      </c>
      <c r="H11" s="144" t="s">
        <v>26</v>
      </c>
      <c r="I11" s="80" t="s">
        <v>108</v>
      </c>
      <c r="J11" s="80" t="s">
        <v>211</v>
      </c>
      <c r="AG11" s="164"/>
      <c r="AH11" s="161"/>
      <c r="AI11" s="163"/>
      <c r="AJ11" s="163"/>
    </row>
    <row r="12" customFormat="false" ht="26.25" hidden="false" customHeight="true" outlineLevel="0" collapsed="false">
      <c r="A12" s="139" t="n">
        <v>7</v>
      </c>
      <c r="B12" s="117" t="s">
        <v>212</v>
      </c>
      <c r="C12" s="117" t="s">
        <v>213</v>
      </c>
      <c r="D12" s="128" t="s">
        <v>35</v>
      </c>
      <c r="E12" s="128" t="s">
        <v>6</v>
      </c>
      <c r="F12" s="117"/>
      <c r="G12" s="162" t="s">
        <v>214</v>
      </c>
      <c r="H12" s="144" t="s">
        <v>25</v>
      </c>
      <c r="I12" s="80" t="s">
        <v>107</v>
      </c>
      <c r="J12" s="80" t="s">
        <v>215</v>
      </c>
      <c r="AG12" s="137"/>
      <c r="AH12" s="160"/>
      <c r="AI12" s="161"/>
      <c r="AJ12" s="163"/>
    </row>
    <row r="13" customFormat="false" ht="26.25" hidden="false" customHeight="true" outlineLevel="0" collapsed="false">
      <c r="A13" s="139" t="n">
        <v>8</v>
      </c>
      <c r="B13" s="124"/>
      <c r="C13" s="117"/>
      <c r="D13" s="128"/>
      <c r="E13" s="128"/>
      <c r="F13" s="117"/>
      <c r="G13" s="162"/>
      <c r="H13" s="144"/>
      <c r="I13" s="80"/>
      <c r="J13" s="80"/>
      <c r="AG13" s="164"/>
      <c r="AH13" s="161"/>
      <c r="AI13" s="163"/>
      <c r="AJ13" s="163"/>
    </row>
    <row r="14" customFormat="false" ht="26.25" hidden="false" customHeight="true" outlineLevel="0" collapsed="false">
      <c r="A14" s="139" t="n">
        <v>9</v>
      </c>
      <c r="B14" s="117"/>
      <c r="C14" s="117"/>
      <c r="D14" s="128"/>
      <c r="E14" s="128"/>
      <c r="F14" s="117"/>
      <c r="G14" s="162"/>
      <c r="H14" s="144"/>
      <c r="I14" s="80"/>
      <c r="J14" s="80"/>
      <c r="AG14" s="137"/>
      <c r="AH14" s="160"/>
      <c r="AI14" s="161"/>
      <c r="AJ14" s="163"/>
    </row>
    <row r="15" customFormat="false" ht="26.25" hidden="false" customHeight="true" outlineLevel="0" collapsed="false">
      <c r="A15" s="139" t="n">
        <v>10</v>
      </c>
      <c r="B15" s="124"/>
      <c r="C15" s="117"/>
      <c r="D15" s="128"/>
      <c r="E15" s="128"/>
      <c r="F15" s="117"/>
      <c r="G15" s="162"/>
      <c r="H15" s="144"/>
      <c r="I15" s="80"/>
      <c r="J15" s="80"/>
      <c r="AG15" s="164"/>
      <c r="AH15" s="161"/>
      <c r="AI15" s="163"/>
      <c r="AJ15" s="163"/>
    </row>
    <row r="16" customFormat="false" ht="26.25" hidden="false" customHeight="true" outlineLevel="0" collapsed="false">
      <c r="A16" s="139" t="n">
        <v>11</v>
      </c>
      <c r="B16" s="117"/>
      <c r="C16" s="117"/>
      <c r="D16" s="128"/>
      <c r="E16" s="128"/>
      <c r="F16" s="117"/>
      <c r="G16" s="162"/>
      <c r="H16" s="144"/>
      <c r="I16" s="80"/>
      <c r="J16" s="80"/>
      <c r="AG16" s="137"/>
      <c r="AH16" s="160"/>
      <c r="AI16" s="161"/>
      <c r="AJ16" s="163"/>
    </row>
    <row r="17" customFormat="false" ht="26.25" hidden="false" customHeight="true" outlineLevel="0" collapsed="false">
      <c r="A17" s="139" t="n">
        <v>12</v>
      </c>
      <c r="B17" s="124"/>
      <c r="C17" s="117"/>
      <c r="D17" s="128"/>
      <c r="E17" s="128"/>
      <c r="F17" s="117"/>
      <c r="G17" s="162"/>
      <c r="H17" s="144"/>
      <c r="I17" s="80"/>
      <c r="J17" s="80"/>
      <c r="AG17" s="164"/>
      <c r="AH17" s="161"/>
      <c r="AI17" s="163"/>
      <c r="AJ17" s="163"/>
    </row>
    <row r="18" customFormat="false" ht="26.25" hidden="false" customHeight="true" outlineLevel="0" collapsed="false">
      <c r="A18" s="139" t="n">
        <v>13</v>
      </c>
      <c r="B18" s="117"/>
      <c r="C18" s="117"/>
      <c r="D18" s="128"/>
      <c r="E18" s="128"/>
      <c r="F18" s="117"/>
      <c r="G18" s="162"/>
      <c r="H18" s="144"/>
      <c r="I18" s="80"/>
      <c r="J18" s="80"/>
      <c r="AG18" s="137"/>
      <c r="AH18" s="160"/>
      <c r="AI18" s="161"/>
      <c r="AJ18" s="163"/>
    </row>
    <row r="19" customFormat="false" ht="26.25" hidden="false" customHeight="true" outlineLevel="0" collapsed="false">
      <c r="A19" s="139" t="n">
        <v>14</v>
      </c>
      <c r="B19" s="124"/>
      <c r="C19" s="117"/>
      <c r="D19" s="128"/>
      <c r="E19" s="128"/>
      <c r="F19" s="117"/>
      <c r="G19" s="162"/>
      <c r="H19" s="144"/>
      <c r="I19" s="80"/>
      <c r="J19" s="80"/>
      <c r="AG19" s="164"/>
      <c r="AH19" s="161"/>
      <c r="AI19" s="163"/>
      <c r="AJ19" s="163"/>
    </row>
    <row r="20" customFormat="false" ht="26.25" hidden="false" customHeight="true" outlineLevel="0" collapsed="false">
      <c r="A20" s="139" t="n">
        <v>15</v>
      </c>
      <c r="B20" s="117"/>
      <c r="C20" s="117"/>
      <c r="D20" s="128"/>
      <c r="E20" s="128"/>
      <c r="F20" s="117"/>
      <c r="G20" s="162"/>
      <c r="H20" s="144"/>
      <c r="I20" s="80"/>
      <c r="J20" s="80"/>
      <c r="AG20" s="137"/>
      <c r="AH20" s="160"/>
      <c r="AI20" s="161"/>
      <c r="AJ20" s="163"/>
    </row>
    <row r="21" customFormat="false" ht="26.25" hidden="false" customHeight="true" outlineLevel="0" collapsed="false">
      <c r="A21" s="139" t="n">
        <v>16</v>
      </c>
      <c r="B21" s="124"/>
      <c r="C21" s="117"/>
      <c r="D21" s="128"/>
      <c r="E21" s="128"/>
      <c r="F21" s="117"/>
      <c r="G21" s="162"/>
      <c r="H21" s="144"/>
      <c r="I21" s="80"/>
      <c r="J21" s="80"/>
      <c r="AG21" s="164"/>
      <c r="AH21" s="161"/>
      <c r="AI21" s="163"/>
      <c r="AJ21" s="163"/>
    </row>
    <row r="22" customFormat="false" ht="26.25" hidden="false" customHeight="true" outlineLevel="0" collapsed="false">
      <c r="A22" s="139" t="n">
        <v>17</v>
      </c>
      <c r="B22" s="117"/>
      <c r="C22" s="117"/>
      <c r="D22" s="128"/>
      <c r="E22" s="128"/>
      <c r="F22" s="117"/>
      <c r="G22" s="162"/>
      <c r="H22" s="144"/>
      <c r="I22" s="80"/>
      <c r="J22" s="80"/>
      <c r="AG22" s="137"/>
      <c r="AH22" s="160"/>
      <c r="AI22" s="161"/>
      <c r="AJ22" s="163"/>
    </row>
    <row r="23" customFormat="false" ht="26.25" hidden="false" customHeight="true" outlineLevel="0" collapsed="false">
      <c r="A23" s="139" t="n">
        <v>18</v>
      </c>
      <c r="B23" s="124"/>
      <c r="C23" s="117"/>
      <c r="D23" s="128"/>
      <c r="E23" s="128"/>
      <c r="F23" s="117"/>
      <c r="G23" s="162"/>
      <c r="H23" s="144"/>
      <c r="I23" s="80"/>
      <c r="J23" s="80"/>
      <c r="AG23" s="164"/>
      <c r="AH23" s="161"/>
      <c r="AI23" s="163"/>
      <c r="AJ23" s="163"/>
    </row>
    <row r="24" customFormat="false" ht="26.25" hidden="false" customHeight="true" outlineLevel="0" collapsed="false">
      <c r="A24" s="139" t="n">
        <v>19</v>
      </c>
      <c r="B24" s="117"/>
      <c r="C24" s="117"/>
      <c r="D24" s="128"/>
      <c r="E24" s="128"/>
      <c r="F24" s="117"/>
      <c r="G24" s="162"/>
      <c r="H24" s="144"/>
      <c r="I24" s="80"/>
      <c r="J24" s="80"/>
      <c r="AG24" s="137"/>
      <c r="AH24" s="160"/>
      <c r="AI24" s="161"/>
      <c r="AJ24" s="163"/>
    </row>
    <row r="25" customFormat="false" ht="26.25" hidden="false" customHeight="true" outlineLevel="0" collapsed="false">
      <c r="A25" s="139" t="n">
        <v>20</v>
      </c>
      <c r="B25" s="124"/>
      <c r="C25" s="117"/>
      <c r="D25" s="128"/>
      <c r="E25" s="128"/>
      <c r="F25" s="117"/>
      <c r="G25" s="162"/>
      <c r="H25" s="144"/>
      <c r="I25" s="80"/>
      <c r="J25" s="80"/>
      <c r="AG25" s="164"/>
      <c r="AH25" s="161"/>
      <c r="AI25" s="163"/>
      <c r="AJ25" s="163"/>
    </row>
    <row r="26" customFormat="false" ht="26.25" hidden="false" customHeight="true" outlineLevel="0" collapsed="false">
      <c r="A26" s="139" t="n">
        <v>21</v>
      </c>
      <c r="B26" s="117"/>
      <c r="C26" s="117"/>
      <c r="D26" s="128"/>
      <c r="E26" s="128"/>
      <c r="F26" s="117"/>
      <c r="G26" s="162"/>
      <c r="H26" s="144"/>
      <c r="I26" s="80"/>
      <c r="J26" s="80"/>
      <c r="AG26" s="137"/>
      <c r="AH26" s="160"/>
      <c r="AI26" s="161"/>
      <c r="AJ26" s="163"/>
    </row>
    <row r="27" customFormat="false" ht="26.25" hidden="false" customHeight="true" outlineLevel="0" collapsed="false">
      <c r="A27" s="139" t="n">
        <v>22</v>
      </c>
      <c r="B27" s="124"/>
      <c r="C27" s="117"/>
      <c r="D27" s="128"/>
      <c r="E27" s="128"/>
      <c r="F27" s="117"/>
      <c r="G27" s="162"/>
      <c r="H27" s="144"/>
      <c r="I27" s="80"/>
      <c r="J27" s="80"/>
      <c r="AG27" s="164"/>
      <c r="AH27" s="161"/>
      <c r="AI27" s="163"/>
      <c r="AJ27" s="163"/>
    </row>
    <row r="28" customFormat="false" ht="22.5" hidden="false" customHeight="true" outlineLevel="0" collapsed="false">
      <c r="A28" s="153"/>
      <c r="B28" s="109"/>
      <c r="C28" s="109"/>
      <c r="D28" s="103"/>
      <c r="E28" s="103"/>
      <c r="F28" s="153"/>
      <c r="G28" s="165"/>
      <c r="H28" s="103"/>
      <c r="I28" s="109"/>
      <c r="J28" s="109"/>
    </row>
    <row r="29" customFormat="false" ht="22.5" hidden="false" customHeight="true" outlineLevel="0" collapsed="false">
      <c r="A29" s="153"/>
      <c r="B29" s="109"/>
      <c r="C29" s="109"/>
      <c r="D29" s="103"/>
      <c r="E29" s="103"/>
      <c r="F29" s="153"/>
      <c r="G29" s="165"/>
      <c r="H29" s="103"/>
      <c r="I29" s="109"/>
      <c r="J29" s="109"/>
    </row>
    <row r="30" customFormat="false" ht="22.5" hidden="false" customHeight="true" outlineLevel="0" collapsed="false">
      <c r="A30" s="153"/>
      <c r="B30" s="109"/>
      <c r="C30" s="109"/>
      <c r="D30" s="103"/>
      <c r="E30" s="103"/>
      <c r="F30" s="153"/>
      <c r="G30" s="165"/>
      <c r="H30" s="103"/>
      <c r="I30" s="109"/>
      <c r="J30" s="109"/>
    </row>
    <row r="31" customFormat="false" ht="22.5" hidden="false" customHeight="true" outlineLevel="0" collapsed="false">
      <c r="A31" s="153"/>
      <c r="B31" s="109"/>
      <c r="C31" s="109"/>
      <c r="D31" s="103"/>
      <c r="E31" s="103"/>
      <c r="F31" s="153"/>
      <c r="G31" s="165"/>
      <c r="H31" s="103"/>
      <c r="I31" s="109"/>
      <c r="J31" s="109"/>
    </row>
    <row r="32" customFormat="false" ht="22.5" hidden="false" customHeight="true" outlineLevel="0" collapsed="false">
      <c r="A32" s="153"/>
      <c r="B32" s="109"/>
      <c r="C32" s="109"/>
      <c r="D32" s="103"/>
      <c r="E32" s="103"/>
      <c r="F32" s="153"/>
      <c r="G32" s="165"/>
      <c r="H32" s="103"/>
      <c r="I32" s="109"/>
      <c r="J32" s="109"/>
    </row>
  </sheetData>
  <mergeCells count="2">
    <mergeCell ref="A1:G2"/>
    <mergeCell ref="AH5:AJ5"/>
  </mergeCells>
  <conditionalFormatting sqref="H9 H11 H13 H15 H17 H19 H21 H23 H25 H27">
    <cfRule type="containsText" priority="2" operator="containsText" aboveAverage="0" equalAverage="0" bottom="0" percent="0" rank="0" text="Not Done" dxfId="18">
      <formula>NOT(ISERROR(SEARCH("Not Done",H9)))</formula>
    </cfRule>
  </conditionalFormatting>
  <conditionalFormatting sqref="H8 H10 H12 H14 H16 H18 H20 H22 H24 H26">
    <cfRule type="containsText" priority="3" operator="containsText" aboveAverage="0" equalAverage="0" bottom="0" percent="0" rank="0" text="Done" dxfId="2">
      <formula>NOT(ISERROR(SEARCH("Done",H8)))</formula>
    </cfRule>
  </conditionalFormatting>
  <conditionalFormatting sqref="H1:H1048576">
    <cfRule type="containsText" priority="4" operator="containsText" aboveAverage="0" equalAverage="0" bottom="0" percent="0" rank="0" text="Not Done" dxfId="18">
      <formula>NOT(ISERROR(SEARCH("Not Done",H1)))</formula>
    </cfRule>
    <cfRule type="containsText" priority="5" operator="containsText" aboveAverage="0" equalAverage="0" bottom="0" percent="0" rank="0" text="Done" dxfId="2">
      <formula>NOT(ISERROR(SEARCH("Done",H1)))</formula>
    </cfRule>
  </conditionalFormatting>
  <conditionalFormatting sqref="H7">
    <cfRule type="containsText" priority="6" operator="containsText" aboveAverage="0" equalAverage="0" bottom="0" percent="0" rank="0" text="Not Done" dxfId="18">
      <formula>NOT(ISERROR(SEARCH("Not Done",H7)))</formula>
    </cfRule>
  </conditionalFormatting>
  <conditionalFormatting sqref="H6">
    <cfRule type="containsText" priority="7" operator="containsText" aboveAverage="0" equalAverage="0" bottom="0" percent="0" rank="0" text="Done" dxfId="2">
      <formula>NOT(ISERROR(SEARCH("Done",H6)))</formula>
    </cfRule>
  </conditionalFormatting>
  <conditionalFormatting sqref="H6:H27">
    <cfRule type="containsText" priority="8" operator="containsText" aboveAverage="0" equalAverage="0" bottom="0" percent="0" rank="0" text="Not Started" dxfId="0">
      <formula>NOT(ISERROR(SEARCH("Not Started",H6)))</formula>
    </cfRule>
    <cfRule type="containsText" priority="9" operator="containsText" aboveAverage="0" equalAverage="0" bottom="0" percent="0" rank="0" text="Delayed" dxfId="3">
      <formula>NOT(ISERROR(SEARCH("Delayed",H6)))</formula>
    </cfRule>
    <cfRule type="containsText" priority="10" operator="containsText" aboveAverage="0" equalAverage="0" bottom="0" percent="0" rank="0" text="In progress" dxfId="1">
      <formula>NOT(ISERROR(SEARCH("In progress",H6)))</formula>
    </cfRule>
    <cfRule type="containsText" priority="11" operator="containsText" aboveAverage="0" equalAverage="0" bottom="0" percent="0" rank="0" text="Completed" dxfId="2">
      <formula>NOT(ISERROR(SEARCH("Completed",H6)))</formula>
    </cfRule>
  </conditionalFormatting>
  <conditionalFormatting sqref="H1:H5 H28:H1048576">
    <cfRule type="containsText" priority="12" operator="containsText" aboveAverage="0" equalAverage="0" bottom="0" percent="0" rank="0" text="not started" dxfId="0">
      <formula>NOT(ISERROR(SEARCH("not started",H1)))</formula>
    </cfRule>
    <cfRule type="containsText" priority="13" operator="containsText" aboveAverage="0" equalAverage="0" bottom="0" percent="0" rank="0" text="In Progress" dxfId="1">
      <formula>NOT(ISERROR(SEARCH("In Progress",H1)))</formula>
    </cfRule>
    <cfRule type="containsText" priority="14" operator="containsText" aboveAverage="0" equalAverage="0" bottom="0" percent="0" rank="0" text="completed" dxfId="2">
      <formula>NOT(ISERROR(SEARCH("completed",H1)))</formula>
    </cfRule>
    <cfRule type="containsText" priority="15" operator="containsText" aboveAverage="0" equalAverage="0" bottom="0" percent="0" rank="0" text="Pending" dxfId="3">
      <formula>NOT(ISERROR(SEARCH("Pending",H1)))</formula>
    </cfRule>
  </conditionalFormatting>
  <dataValidations count="5">
    <dataValidation allowBlank="true" errorStyle="stop" operator="between" showDropDown="false" showErrorMessage="false" showInputMessage="false" sqref="D6:D27" type="list">
      <formula1>"Clusters,Committees,Projects,Support Services,External,Others"</formula1>
      <formula2>0</formula2>
    </dataValidation>
    <dataValidation allowBlank="true" errorStyle="stop" operator="between" showDropDown="false" showErrorMessage="false" showInputMessage="false" sqref="E6:E27" type="list">
      <formula1>"Performance Analyst ,Data Analyst ,HASTT,AI"</formula1>
      <formula2>0</formula2>
    </dataValidation>
    <dataValidation allowBlank="true" errorStyle="stop" operator="between" showDropDown="false" showErrorMessage="false" showInputMessage="false" sqref="F6:F27" type="list">
      <formula1>"Annual,Quarterly,Monthly,Weekly"</formula1>
      <formula2>0</formula2>
    </dataValidation>
    <dataValidation allowBlank="true" errorStyle="stop" operator="between" showDropDown="false" showErrorMessage="false" showInputMessage="false" sqref="H6:H27" type="list">
      <formula1>"Done,Not Done"</formula1>
      <formula2>0</formula2>
    </dataValidation>
    <dataValidation allowBlank="true" errorStyle="stop" operator="between" showDropDown="false" showErrorMessage="false" showInputMessage="false" sqref="I6:I27" type="list">
      <formula1>"م. علي الزهراني,أ. فيصل الرحيمي,م. حمادي الشعائره,أ. صفا الشهري,أ. صالحة المالكي,أ. نورة التركي,أ. رهف جباري,أ. محمد القحطاني,أ. تركي السلمان,أ. ريما الفهيد"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C2" activeCellId="0" sqref="C2"/>
    </sheetView>
  </sheetViews>
  <sheetFormatPr defaultColWidth="8.875" defaultRowHeight="15" zeroHeight="false" outlineLevelRow="0" outlineLevelCol="0"/>
  <cols>
    <col collapsed="false" customWidth="false" hidden="false" outlineLevel="0" max="2" min="1" style="166" width="8.87"/>
    <col collapsed="false" customWidth="true" hidden="false" outlineLevel="0" max="3" min="3" style="166" width="49.77"/>
    <col collapsed="false" customWidth="false" hidden="false" outlineLevel="0" max="16384" min="4" style="166" width="8.87"/>
  </cols>
  <sheetData>
    <row r="1" customFormat="false" ht="15" hidden="false" customHeight="true" outlineLevel="0" collapsed="false">
      <c r="A1" s="167" t="s">
        <v>216</v>
      </c>
      <c r="B1" s="168" t="s">
        <v>217</v>
      </c>
      <c r="C1" s="168" t="s">
        <v>218</v>
      </c>
    </row>
    <row r="2" customFormat="false" ht="15" hidden="false" customHeight="true" outlineLevel="0" collapsed="false">
      <c r="A2" s="169" t="s">
        <v>219</v>
      </c>
      <c r="B2" s="170" t="n">
        <v>15</v>
      </c>
      <c r="C2" s="169"/>
    </row>
    <row r="3" customFormat="false" ht="15" hidden="false" customHeight="true" outlineLevel="0" collapsed="false">
      <c r="A3" s="169" t="s">
        <v>219</v>
      </c>
      <c r="B3" s="170" t="n">
        <v>3</v>
      </c>
      <c r="C3" s="169"/>
    </row>
    <row r="4" customFormat="false" ht="15" hidden="false" customHeight="true" outlineLevel="0" collapsed="false">
      <c r="A4" s="169" t="s">
        <v>219</v>
      </c>
      <c r="B4" s="170" t="n">
        <v>11</v>
      </c>
      <c r="C4" s="169"/>
    </row>
    <row r="5" customFormat="false" ht="15" hidden="false" customHeight="true" outlineLevel="0" collapsed="false">
      <c r="A5" s="169" t="s">
        <v>219</v>
      </c>
      <c r="B5" s="170" t="n">
        <v>12</v>
      </c>
      <c r="C5" s="169"/>
    </row>
    <row r="6" customFormat="false" ht="15" hidden="false" customHeight="true" outlineLevel="0" collapsed="false">
      <c r="A6" s="169" t="s">
        <v>219</v>
      </c>
      <c r="B6" s="170" t="n">
        <v>14</v>
      </c>
      <c r="C6" s="169"/>
    </row>
  </sheetData>
  <printOptions headings="false" gridLines="false" gridLinesSet="true" horizontalCentered="false" verticalCentered="false"/>
  <pageMargins left="0.7" right="0.7" top="0.75" bottom="0.75" header="0.511811023622047" footer="0.3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>&amp;C&amp;12 &amp;K008000_x005F_x000d_#  Classified as: Public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D11"/>
  <sheetViews>
    <sheetView showFormulas="false" showGridLines="true" showRowColHeaders="true" showZeros="true" rightToLeft="false" tabSelected="false" showOutlineSymbols="true" defaultGridColor="true" view="normal" topLeftCell="A68" colorId="64" zoomScale="100" zoomScaleNormal="100" zoomScalePageLayoutView="100" workbookViewId="0">
      <selection pane="topLeft" activeCell="D24" activeCellId="0" sqref="D24"/>
    </sheetView>
  </sheetViews>
  <sheetFormatPr defaultColWidth="8.6796875" defaultRowHeight="15" zeroHeight="false" outlineLevelRow="0" outlineLevelCol="0"/>
  <cols>
    <col collapsed="false" customWidth="true" hidden="false" outlineLevel="0" max="2" min="2" style="3" width="19.79"/>
    <col collapsed="false" customWidth="true" hidden="false" outlineLevel="0" max="3" min="3" style="3" width="26.1"/>
    <col collapsed="false" customWidth="true" hidden="false" outlineLevel="0" max="4" min="4" style="3" width="27.44"/>
  </cols>
  <sheetData>
    <row r="2" customFormat="false" ht="15" hidden="false" customHeight="true" outlineLevel="0" collapsed="false">
      <c r="A2" s="3" t="s">
        <v>83</v>
      </c>
      <c r="B2" s="3" t="s">
        <v>84</v>
      </c>
      <c r="C2" s="171"/>
      <c r="D2" s="172"/>
    </row>
    <row r="3" customFormat="false" ht="15" hidden="false" customHeight="true" outlineLevel="0" collapsed="false">
      <c r="A3" s="3" t="s">
        <v>85</v>
      </c>
      <c r="B3" s="3" t="s">
        <v>86</v>
      </c>
      <c r="C3" s="171"/>
      <c r="D3" s="172"/>
    </row>
    <row r="4" customFormat="false" ht="22.5" hidden="false" customHeight="true" outlineLevel="0" collapsed="false">
      <c r="A4" s="3" t="s">
        <v>87</v>
      </c>
      <c r="B4" s="37" t="s">
        <v>88</v>
      </c>
      <c r="C4" s="171"/>
      <c r="D4" s="172"/>
    </row>
    <row r="5" customFormat="false" ht="15" hidden="false" customHeight="true" outlineLevel="0" collapsed="false">
      <c r="A5" s="3" t="s">
        <v>89</v>
      </c>
      <c r="B5" s="3" t="s">
        <v>90</v>
      </c>
      <c r="C5" s="171"/>
      <c r="D5" s="172"/>
    </row>
    <row r="10" customFormat="false" ht="15" hidden="false" customHeight="true" outlineLevel="0" collapsed="false">
      <c r="B10" s="171"/>
      <c r="C10" s="3" t="s">
        <v>141</v>
      </c>
      <c r="D10" s="173" t="s">
        <v>111</v>
      </c>
    </row>
    <row r="11" customFormat="false" ht="15" hidden="false" customHeight="true" outlineLevel="0" collapsed="false">
      <c r="B11" s="172"/>
      <c r="C11" s="3" t="s">
        <v>220</v>
      </c>
      <c r="D11" s="173" t="s">
        <v>221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4472C4"/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K13" activeCellId="0" sqref="K13"/>
    </sheetView>
  </sheetViews>
  <sheetFormatPr defaultColWidth="8.875" defaultRowHeight="15" zeroHeight="false" outlineLevelRow="0" outlineLevelCol="0"/>
  <cols>
    <col collapsed="false" customWidth="false" hidden="false" outlineLevel="0" max="16384" min="1" style="174" width="8.87"/>
  </cols>
  <sheetData/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0B050"/>
    <pageSetUpPr fitToPage="false"/>
  </sheetPr>
  <dimension ref="A1:J61"/>
  <sheetViews>
    <sheetView showFormulas="false" showGridLines="false" showRowColHeaders="true" showZeros="true" rightToLeft="false" tabSelected="false" showOutlineSymbols="true" defaultGridColor="true" view="normal" topLeftCell="A14" colorId="64" zoomScale="80" zoomScaleNormal="80" zoomScalePageLayoutView="100" workbookViewId="0">
      <selection pane="topLeft" activeCell="I13" activeCellId="0" sqref="I13"/>
    </sheetView>
  </sheetViews>
  <sheetFormatPr defaultColWidth="8.6796875" defaultRowHeight="15" zeroHeight="false" outlineLevelRow="0" outlineLevelCol="0"/>
  <cols>
    <col collapsed="false" customWidth="true" hidden="false" outlineLevel="0" max="1" min="1" style="3" width="29.19"/>
    <col collapsed="false" customWidth="true" hidden="false" outlineLevel="0" max="2" min="2" style="3" width="18.03"/>
    <col collapsed="false" customWidth="true" hidden="false" outlineLevel="0" max="3" min="3" style="3" width="26.1"/>
    <col collapsed="false" customWidth="true" hidden="false" outlineLevel="0" max="4" min="4" style="3" width="25.42"/>
    <col collapsed="false" customWidth="true" hidden="false" outlineLevel="0" max="5" min="5" style="3" width="11.43"/>
    <col collapsed="false" customWidth="true" hidden="false" outlineLevel="0" max="6" min="6" style="3" width="18.83"/>
    <col collapsed="false" customWidth="true" hidden="false" outlineLevel="0" max="7" min="7" style="3" width="19.23"/>
    <col collapsed="false" customWidth="true" hidden="false" outlineLevel="0" max="8" min="8" style="3" width="32.68"/>
  </cols>
  <sheetData>
    <row r="1" customFormat="false" ht="22.5" hidden="false" customHeight="true" outlineLevel="0" collapsed="false">
      <c r="A1" s="175" t="s">
        <v>222</v>
      </c>
      <c r="B1" s="175"/>
      <c r="C1" s="175"/>
      <c r="D1" s="175"/>
      <c r="E1" s="175"/>
      <c r="F1" s="175"/>
      <c r="G1" s="9"/>
      <c r="H1" s="9"/>
      <c r="I1" s="9"/>
      <c r="J1" s="9"/>
    </row>
    <row r="2" customFormat="false" ht="13.5" hidden="false" customHeight="true" outlineLevel="0" collapsed="false">
      <c r="A2" s="175"/>
      <c r="B2" s="175"/>
      <c r="C2" s="175"/>
      <c r="D2" s="175"/>
      <c r="E2" s="175"/>
      <c r="F2" s="175"/>
      <c r="G2" s="9"/>
      <c r="H2" s="9"/>
      <c r="I2" s="9"/>
      <c r="J2" s="9"/>
    </row>
    <row r="3" customFormat="false" ht="21" hidden="false" customHeight="true" outlineLevel="0" collapsed="false">
      <c r="A3" s="176" t="s">
        <v>223</v>
      </c>
      <c r="B3" s="8"/>
      <c r="C3" s="8"/>
      <c r="D3" s="8"/>
      <c r="E3" s="9"/>
      <c r="F3" s="10"/>
      <c r="G3" s="9"/>
      <c r="H3" s="9"/>
      <c r="I3" s="9"/>
      <c r="J3" s="9"/>
    </row>
    <row r="4" customFormat="false" ht="15" hidden="false" customHeight="true" outlineLevel="0" collapsed="false">
      <c r="A4" s="177"/>
    </row>
    <row r="5" customFormat="false" ht="15" hidden="false" customHeight="true" outlineLevel="0" collapsed="false">
      <c r="A5" s="178"/>
      <c r="B5" s="179"/>
      <c r="C5" s="179"/>
      <c r="D5" s="180"/>
    </row>
    <row r="6" customFormat="false" ht="24.75" hidden="false" customHeight="true" outlineLevel="0" collapsed="false">
      <c r="A6" s="181" t="s">
        <v>224</v>
      </c>
      <c r="B6" s="182" t="s">
        <v>225</v>
      </c>
      <c r="C6" s="182" t="s">
        <v>226</v>
      </c>
      <c r="D6" s="183" t="s">
        <v>227</v>
      </c>
      <c r="E6" s="58"/>
      <c r="F6" s="184" t="s">
        <v>228</v>
      </c>
      <c r="G6" s="184"/>
      <c r="H6" s="184"/>
    </row>
    <row r="7" customFormat="false" ht="22.5" hidden="false" customHeight="true" outlineLevel="0" collapsed="false">
      <c r="A7" s="185" t="s">
        <v>79</v>
      </c>
      <c r="B7" s="186" t="n">
        <v>0.5</v>
      </c>
      <c r="C7" s="187" t="n">
        <f aca="false">B19</f>
        <v>4</v>
      </c>
      <c r="D7" s="188" t="n">
        <f aca="false">B7*C7</f>
        <v>2</v>
      </c>
      <c r="F7" s="189" t="s">
        <v>229</v>
      </c>
      <c r="G7" s="190" t="s">
        <v>99</v>
      </c>
      <c r="H7" s="191" t="s">
        <v>230</v>
      </c>
    </row>
    <row r="8" customFormat="false" ht="24" hidden="false" customHeight="true" outlineLevel="0" collapsed="false">
      <c r="A8" s="185" t="s">
        <v>231</v>
      </c>
      <c r="B8" s="186" t="n">
        <v>0.2</v>
      </c>
      <c r="C8" s="187" t="n">
        <f aca="false">B30</f>
        <v>4.5</v>
      </c>
      <c r="D8" s="188" t="n">
        <f aca="false">B8*C8</f>
        <v>0.9</v>
      </c>
      <c r="F8" s="192" t="s">
        <v>232</v>
      </c>
      <c r="G8" s="193"/>
      <c r="H8" s="194" t="s">
        <v>233</v>
      </c>
    </row>
    <row r="9" customFormat="false" ht="24" hidden="false" customHeight="true" outlineLevel="0" collapsed="false">
      <c r="A9" s="185" t="s">
        <v>52</v>
      </c>
      <c r="B9" s="186" t="n">
        <v>0.2</v>
      </c>
      <c r="C9" s="187" t="n">
        <f aca="false">B43</f>
        <v>5</v>
      </c>
      <c r="D9" s="188" t="n">
        <f aca="false">B9*C9</f>
        <v>1</v>
      </c>
      <c r="F9" s="195" t="s">
        <v>234</v>
      </c>
      <c r="G9" s="196"/>
      <c r="H9" s="194" t="s">
        <v>235</v>
      </c>
    </row>
    <row r="10" customFormat="false" ht="24.75" hidden="false" customHeight="true" outlineLevel="0" collapsed="false">
      <c r="A10" s="185" t="s">
        <v>54</v>
      </c>
      <c r="B10" s="186" t="n">
        <v>0.1</v>
      </c>
      <c r="C10" s="187" t="n">
        <f aca="false">B54</f>
        <v>0</v>
      </c>
      <c r="D10" s="188" t="n">
        <f aca="false">B10*C10</f>
        <v>0</v>
      </c>
      <c r="F10" s="197" t="s">
        <v>236</v>
      </c>
      <c r="G10" s="198"/>
      <c r="H10" s="199" t="s">
        <v>237</v>
      </c>
    </row>
    <row r="11" customFormat="false" ht="24" hidden="false" customHeight="true" outlineLevel="0" collapsed="false">
      <c r="A11" s="200"/>
      <c r="B11" s="201"/>
      <c r="C11" s="58"/>
      <c r="D11" s="202"/>
      <c r="F11" s="203"/>
      <c r="G11" s="204"/>
      <c r="H11" s="205"/>
    </row>
    <row r="12" customFormat="false" ht="15" hidden="false" customHeight="true" outlineLevel="0" collapsed="false">
      <c r="A12" s="11"/>
      <c r="D12" s="12"/>
    </row>
    <row r="13" customFormat="false" ht="25.5" hidden="false" customHeight="true" outlineLevel="0" collapsed="false">
      <c r="A13" s="49"/>
      <c r="B13" s="206" t="s">
        <v>238</v>
      </c>
      <c r="C13" s="206"/>
      <c r="D13" s="207" t="n">
        <f aca="false">SUM(D7:D10)</f>
        <v>3.9</v>
      </c>
    </row>
    <row r="14" customFormat="false" ht="15" hidden="false" customHeight="true" outlineLevel="0" collapsed="false">
      <c r="A14" s="11"/>
      <c r="C14" s="208"/>
      <c r="D14" s="12"/>
    </row>
    <row r="15" customFormat="false" ht="24.75" hidden="false" customHeight="true" outlineLevel="0" collapsed="false">
      <c r="A15" s="209" t="s">
        <v>239</v>
      </c>
      <c r="B15" s="210"/>
      <c r="C15" s="210"/>
      <c r="D15" s="211"/>
    </row>
    <row r="16" customFormat="false" ht="15" hidden="false" customHeight="true" outlineLevel="0" collapsed="false">
      <c r="A16" s="11"/>
      <c r="D16" s="12"/>
    </row>
    <row r="17" customFormat="false" ht="21.75" hidden="false" customHeight="true" outlineLevel="0" collapsed="false">
      <c r="A17" s="200" t="s">
        <v>240</v>
      </c>
      <c r="B17" s="212" t="n">
        <f aca="false">IFERROR(LOOKUP(C22,{0,0.5,0.6,0.7,0.8,0.9},{0,1,2,3,4,5}),"0")</f>
        <v>4</v>
      </c>
      <c r="C17" s="213"/>
      <c r="D17" s="12"/>
    </row>
    <row r="18" customFormat="false" ht="26.25" hidden="false" customHeight="true" outlineLevel="0" collapsed="false">
      <c r="A18" s="200" t="s">
        <v>241</v>
      </c>
      <c r="B18" s="58" t="n">
        <f aca="false">IFERROR(LOOKUP(C23,{0,0.101,0.201,0.401,0.501,0.601},{5,4,3,2,1,0}),"0")</f>
        <v>4</v>
      </c>
      <c r="C18" s="213"/>
      <c r="D18" s="12"/>
      <c r="F18" s="214"/>
      <c r="G18" s="214"/>
      <c r="H18" s="214"/>
      <c r="I18" s="214"/>
    </row>
    <row r="19" customFormat="false" ht="24.75" hidden="false" customHeight="true" outlineLevel="0" collapsed="false">
      <c r="A19" s="215" t="s">
        <v>242</v>
      </c>
      <c r="B19" s="58" t="n">
        <f aca="false">((B17*0.5)+(B18*0.5))</f>
        <v>4</v>
      </c>
      <c r="C19" s="213"/>
      <c r="D19" s="12"/>
      <c r="F19" s="216" t="s">
        <v>243</v>
      </c>
      <c r="G19" s="216"/>
      <c r="H19" s="216"/>
      <c r="I19" s="216"/>
    </row>
    <row r="20" customFormat="false" ht="21.75" hidden="false" customHeight="true" outlineLevel="0" collapsed="false">
      <c r="A20" s="217"/>
      <c r="B20" s="213"/>
      <c r="C20" s="213"/>
      <c r="D20" s="12"/>
      <c r="F20" s="218" t="s">
        <v>244</v>
      </c>
      <c r="G20" s="218" t="s">
        <v>229</v>
      </c>
      <c r="H20" s="218" t="s">
        <v>98</v>
      </c>
      <c r="I20" s="218" t="s">
        <v>229</v>
      </c>
    </row>
    <row r="21" customFormat="false" ht="21.75" hidden="false" customHeight="true" outlineLevel="0" collapsed="false">
      <c r="A21" s="219"/>
      <c r="B21" s="220" t="s">
        <v>137</v>
      </c>
      <c r="C21" s="220" t="s">
        <v>138</v>
      </c>
      <c r="D21" s="12"/>
      <c r="F21" s="221" t="s">
        <v>245</v>
      </c>
      <c r="G21" s="221" t="n">
        <v>0</v>
      </c>
      <c r="H21" s="221" t="s">
        <v>246</v>
      </c>
      <c r="I21" s="221" t="n">
        <v>0</v>
      </c>
    </row>
    <row r="22" customFormat="false" ht="21.75" hidden="false" customHeight="true" outlineLevel="0" collapsed="false">
      <c r="A22" s="219" t="s">
        <v>247</v>
      </c>
      <c r="B22" s="58" t="n">
        <f aca="false">COUNTIFS('Tasks Tracker'!H5:H816,"Completed")+COUNTIFS('Tasks Tracker'!H5:H816,"In Progress")</f>
        <v>13</v>
      </c>
      <c r="C22" s="201" t="n">
        <f aca="false">IFERROR(B22/B25,"0")</f>
        <v>0.8125</v>
      </c>
      <c r="D22" s="12"/>
      <c r="F22" s="221" t="s">
        <v>248</v>
      </c>
      <c r="G22" s="221" t="n">
        <v>1</v>
      </c>
      <c r="H22" s="221" t="s">
        <v>249</v>
      </c>
      <c r="I22" s="221" t="n">
        <v>1</v>
      </c>
    </row>
    <row r="23" customFormat="false" ht="21.75" hidden="false" customHeight="true" outlineLevel="0" collapsed="false">
      <c r="A23" s="219" t="s">
        <v>23</v>
      </c>
      <c r="B23" s="58" t="n">
        <f aca="false">COUNTIFS('Tasks Tracker'!H5:H816,"Delayed")</f>
        <v>3</v>
      </c>
      <c r="C23" s="201" t="n">
        <f aca="false">IFERROR(B23/B25,"0")</f>
        <v>0.1875</v>
      </c>
      <c r="D23" s="12"/>
      <c r="F23" s="221" t="s">
        <v>250</v>
      </c>
      <c r="G23" s="221" t="n">
        <v>2</v>
      </c>
      <c r="H23" s="221" t="s">
        <v>251</v>
      </c>
      <c r="I23" s="221" t="n">
        <v>2</v>
      </c>
    </row>
    <row r="24" customFormat="false" ht="21.75" hidden="false" customHeight="true" outlineLevel="0" collapsed="false">
      <c r="A24" s="219" t="s">
        <v>24</v>
      </c>
      <c r="B24" s="58" t="n">
        <f aca="false">COUNTIFS('Tasks Tracker'!H5:H816,"Not Started")</f>
        <v>0</v>
      </c>
      <c r="C24" s="201" t="n">
        <f aca="false">IFERROR(B24/B25,"0")</f>
        <v>0</v>
      </c>
      <c r="D24" s="12"/>
      <c r="F24" s="221" t="s">
        <v>252</v>
      </c>
      <c r="G24" s="221" t="n">
        <v>3</v>
      </c>
      <c r="H24" s="221" t="s">
        <v>253</v>
      </c>
      <c r="I24" s="221" t="n">
        <v>3</v>
      </c>
    </row>
    <row r="25" customFormat="false" ht="21.75" hidden="false" customHeight="true" outlineLevel="0" collapsed="false">
      <c r="A25" s="222" t="s">
        <v>139</v>
      </c>
      <c r="B25" s="223" t="n">
        <f aca="false">SUM(B22:B24)</f>
        <v>16</v>
      </c>
      <c r="C25" s="26"/>
      <c r="D25" s="12"/>
      <c r="F25" s="221" t="s">
        <v>254</v>
      </c>
      <c r="G25" s="221" t="n">
        <v>4</v>
      </c>
      <c r="H25" s="221" t="s">
        <v>255</v>
      </c>
      <c r="I25" s="221" t="n">
        <v>4</v>
      </c>
    </row>
    <row r="26" customFormat="false" ht="21" hidden="false" customHeight="true" outlineLevel="0" collapsed="false">
      <c r="D26" s="12"/>
      <c r="F26" s="221" t="s">
        <v>256</v>
      </c>
      <c r="G26" s="221" t="n">
        <v>5</v>
      </c>
      <c r="H26" s="221" t="s">
        <v>257</v>
      </c>
      <c r="I26" s="221" t="n">
        <v>5</v>
      </c>
    </row>
    <row r="27" customFormat="false" ht="21" hidden="false" customHeight="true" outlineLevel="0" collapsed="false">
      <c r="A27" s="224" t="s">
        <v>258</v>
      </c>
      <c r="B27" s="225"/>
      <c r="C27" s="225"/>
      <c r="D27" s="226"/>
    </row>
    <row r="28" customFormat="false" ht="21.75" hidden="false" customHeight="true" outlineLevel="0" collapsed="false">
      <c r="A28" s="200" t="s">
        <v>259</v>
      </c>
      <c r="B28" s="212" t="n">
        <f aca="false">IFERROR(LOOKUP(C33,{0,0.5,0.6,0.7,0.8,0.9},{0,1,2,3,4,5}),"0")</f>
        <v>4</v>
      </c>
      <c r="C28" s="213"/>
      <c r="D28" s="12"/>
    </row>
    <row r="29" customFormat="false" ht="21.75" hidden="false" customHeight="true" outlineLevel="0" collapsed="false">
      <c r="A29" s="200" t="s">
        <v>241</v>
      </c>
      <c r="B29" s="58" t="n">
        <f aca="false">IFERROR(LOOKUP(C34,{0,0.101,0.201,0.401,0.501,0.601},{5,4,3,2,1,0}),"0")</f>
        <v>5</v>
      </c>
      <c r="C29" s="213"/>
      <c r="D29" s="12"/>
    </row>
    <row r="30" customFormat="false" ht="24.75" hidden="false" customHeight="true" outlineLevel="0" collapsed="false">
      <c r="A30" s="215" t="s">
        <v>242</v>
      </c>
      <c r="B30" s="227" t="n">
        <f aca="false">((B28*0.5)+(B29*0.5))</f>
        <v>4.5</v>
      </c>
      <c r="C30" s="213"/>
      <c r="D30" s="12"/>
      <c r="F30" s="228" t="s">
        <v>260</v>
      </c>
      <c r="G30" s="228"/>
      <c r="H30" s="228"/>
      <c r="I30" s="228"/>
    </row>
    <row r="31" customFormat="false" ht="21.75" hidden="false" customHeight="true" outlineLevel="0" collapsed="false">
      <c r="A31" s="229"/>
      <c r="B31" s="213"/>
      <c r="C31" s="213"/>
      <c r="D31" s="12"/>
      <c r="F31" s="218" t="s">
        <v>244</v>
      </c>
      <c r="G31" s="218" t="s">
        <v>229</v>
      </c>
      <c r="H31" s="218" t="s">
        <v>98</v>
      </c>
      <c r="I31" s="218" t="s">
        <v>229</v>
      </c>
    </row>
    <row r="32" customFormat="false" ht="21.75" hidden="false" customHeight="true" outlineLevel="0" collapsed="false">
      <c r="A32" s="219"/>
      <c r="B32" s="220" t="s">
        <v>137</v>
      </c>
      <c r="C32" s="220" t="s">
        <v>138</v>
      </c>
      <c r="D32" s="12"/>
      <c r="F32" s="221" t="s">
        <v>245</v>
      </c>
      <c r="G32" s="221" t="n">
        <v>0</v>
      </c>
      <c r="H32" s="221" t="s">
        <v>246</v>
      </c>
      <c r="I32" s="221" t="n">
        <v>0</v>
      </c>
    </row>
    <row r="33" customFormat="false" ht="21.75" hidden="false" customHeight="true" outlineLevel="0" collapsed="false">
      <c r="A33" s="219" t="s">
        <v>261</v>
      </c>
      <c r="B33" s="58" t="n">
        <f aca="false">COUNTIFS(Initiatives!H5:H17,"Completed")+COUNTIFS(Initiatives!H5:H17,"In Progress")</f>
        <v>6</v>
      </c>
      <c r="C33" s="201" t="n">
        <f aca="false">IFERROR(B33/B36,"0")</f>
        <v>0.857142857142857</v>
      </c>
      <c r="D33" s="12"/>
      <c r="F33" s="221" t="s">
        <v>248</v>
      </c>
      <c r="G33" s="221" t="n">
        <v>1</v>
      </c>
      <c r="H33" s="221" t="s">
        <v>249</v>
      </c>
      <c r="I33" s="221" t="n">
        <v>1</v>
      </c>
    </row>
    <row r="34" customFormat="false" ht="21.75" hidden="false" customHeight="true" outlineLevel="0" collapsed="false">
      <c r="A34" s="219" t="s">
        <v>23</v>
      </c>
      <c r="B34" s="58" t="n">
        <f aca="false">COUNTIFS(Initiatives!H5:H17,"Delayed")</f>
        <v>0</v>
      </c>
      <c r="C34" s="201" t="n">
        <f aca="false">IFERROR(B34/B36,"0")</f>
        <v>0</v>
      </c>
      <c r="D34" s="12"/>
      <c r="F34" s="221" t="s">
        <v>250</v>
      </c>
      <c r="G34" s="221" t="n">
        <v>2</v>
      </c>
      <c r="H34" s="221" t="s">
        <v>251</v>
      </c>
      <c r="I34" s="221" t="n">
        <v>2</v>
      </c>
    </row>
    <row r="35" customFormat="false" ht="21.75" hidden="false" customHeight="true" outlineLevel="0" collapsed="false">
      <c r="A35" s="219" t="s">
        <v>24</v>
      </c>
      <c r="B35" s="58" t="n">
        <f aca="false">COUNTIFS(Initiatives!H5:H17,"Not Started")</f>
        <v>1</v>
      </c>
      <c r="C35" s="201" t="n">
        <f aca="false">IFERROR(B35/B36,"0")</f>
        <v>0.142857142857143</v>
      </c>
      <c r="D35" s="12"/>
      <c r="F35" s="221" t="s">
        <v>252</v>
      </c>
      <c r="G35" s="221" t="n">
        <v>3</v>
      </c>
      <c r="H35" s="221" t="s">
        <v>253</v>
      </c>
      <c r="I35" s="221" t="n">
        <v>3</v>
      </c>
    </row>
    <row r="36" customFormat="false" ht="21.75" hidden="false" customHeight="true" outlineLevel="0" collapsed="false">
      <c r="A36" s="222" t="s">
        <v>139</v>
      </c>
      <c r="B36" s="223" t="n">
        <f aca="false">SUM(B33:B35)</f>
        <v>7</v>
      </c>
      <c r="C36" s="26"/>
      <c r="D36" s="12"/>
      <c r="F36" s="221" t="s">
        <v>254</v>
      </c>
      <c r="G36" s="221" t="n">
        <v>4</v>
      </c>
      <c r="H36" s="221" t="s">
        <v>255</v>
      </c>
      <c r="I36" s="221" t="n">
        <v>4</v>
      </c>
    </row>
    <row r="37" customFormat="false" ht="21.75" hidden="false" customHeight="true" outlineLevel="0" collapsed="false">
      <c r="D37" s="12"/>
      <c r="F37" s="221" t="s">
        <v>256</v>
      </c>
      <c r="G37" s="221" t="n">
        <v>5</v>
      </c>
      <c r="H37" s="221" t="s">
        <v>257</v>
      </c>
      <c r="I37" s="221" t="n">
        <v>5</v>
      </c>
    </row>
    <row r="38" customFormat="false" ht="15" hidden="false" customHeight="true" outlineLevel="0" collapsed="false">
      <c r="A38" s="11"/>
      <c r="D38" s="12"/>
    </row>
    <row r="39" customFormat="false" ht="15" hidden="false" customHeight="true" outlineLevel="0" collapsed="false">
      <c r="A39" s="11"/>
      <c r="D39" s="12"/>
    </row>
    <row r="40" customFormat="false" ht="24.75" hidden="false" customHeight="true" outlineLevel="0" collapsed="false">
      <c r="A40" s="224" t="s">
        <v>262</v>
      </c>
      <c r="B40" s="225"/>
      <c r="C40" s="225"/>
      <c r="D40" s="226"/>
    </row>
    <row r="41" customFormat="false" ht="21.75" hidden="false" customHeight="true" outlineLevel="0" collapsed="false">
      <c r="A41" s="200" t="s">
        <v>240</v>
      </c>
      <c r="B41" s="212" t="n">
        <f aca="false">IFERROR(LOOKUP(C46,{0,0.5,0.6,0.7,0.8,0.9},{0,1,2,3,4,5}),"0")</f>
        <v>5</v>
      </c>
      <c r="D41" s="12"/>
    </row>
    <row r="42" customFormat="false" ht="22.5" hidden="false" customHeight="true" outlineLevel="0" collapsed="false">
      <c r="A42" s="230" t="s">
        <v>241</v>
      </c>
      <c r="B42" s="58" t="n">
        <f aca="false">IFERROR(LOOKUP(C47,{0,0.101,0.201,0.401,0.501,0.601},{5,4,3,2,1,0}),"0")</f>
        <v>5</v>
      </c>
      <c r="D42" s="12"/>
    </row>
    <row r="43" customFormat="false" ht="24.75" hidden="false" customHeight="true" outlineLevel="0" collapsed="false">
      <c r="A43" s="231" t="s">
        <v>229</v>
      </c>
      <c r="B43" s="232" t="n">
        <f aca="false">((B41*0.5)+(B42*0.5))</f>
        <v>5</v>
      </c>
      <c r="D43" s="12"/>
      <c r="F43" s="228" t="s">
        <v>263</v>
      </c>
      <c r="G43" s="228"/>
      <c r="H43" s="228"/>
      <c r="I43" s="228"/>
    </row>
    <row r="44" customFormat="false" ht="21.75" hidden="false" customHeight="true" outlineLevel="0" collapsed="false">
      <c r="A44" s="11"/>
      <c r="D44" s="12"/>
      <c r="F44" s="218" t="s">
        <v>244</v>
      </c>
      <c r="G44" s="218" t="s">
        <v>229</v>
      </c>
      <c r="H44" s="218" t="s">
        <v>98</v>
      </c>
      <c r="I44" s="218" t="s">
        <v>229</v>
      </c>
    </row>
    <row r="45" customFormat="false" ht="21.75" hidden="false" customHeight="true" outlineLevel="0" collapsed="false">
      <c r="A45" s="219"/>
      <c r="B45" s="220" t="s">
        <v>137</v>
      </c>
      <c r="C45" s="220" t="s">
        <v>138</v>
      </c>
      <c r="D45" s="12"/>
      <c r="F45" s="221" t="s">
        <v>245</v>
      </c>
      <c r="G45" s="221" t="n">
        <v>0</v>
      </c>
      <c r="H45" s="221" t="s">
        <v>246</v>
      </c>
      <c r="I45" s="221" t="n">
        <v>0</v>
      </c>
    </row>
    <row r="46" customFormat="false" ht="21.75" hidden="false" customHeight="true" outlineLevel="0" collapsed="false">
      <c r="A46" s="219" t="s">
        <v>247</v>
      </c>
      <c r="B46" s="58" t="n">
        <f aca="false">COUNTIFS(Reports!H5:H33,"Completed")+COUNTIFS(Reports!H5:H33,"In Progress")</f>
        <v>5</v>
      </c>
      <c r="C46" s="201" t="n">
        <f aca="false">IFERROR(B46/B49,"0")</f>
        <v>1</v>
      </c>
      <c r="D46" s="12"/>
      <c r="F46" s="221" t="s">
        <v>248</v>
      </c>
      <c r="G46" s="221" t="n">
        <v>1</v>
      </c>
      <c r="H46" s="221" t="s">
        <v>249</v>
      </c>
      <c r="I46" s="221" t="n">
        <v>1</v>
      </c>
    </row>
    <row r="47" customFormat="false" ht="21.75" hidden="false" customHeight="true" outlineLevel="0" collapsed="false">
      <c r="A47" s="219" t="s">
        <v>23</v>
      </c>
      <c r="B47" s="58" t="n">
        <f aca="false">COUNTIFS(Reports!H5:H33,"Delayed")</f>
        <v>0</v>
      </c>
      <c r="C47" s="201" t="n">
        <f aca="false">IFERROR(B47/B49,"0")</f>
        <v>0</v>
      </c>
      <c r="D47" s="12"/>
      <c r="F47" s="221" t="s">
        <v>250</v>
      </c>
      <c r="G47" s="221" t="n">
        <v>2</v>
      </c>
      <c r="H47" s="221" t="s">
        <v>251</v>
      </c>
      <c r="I47" s="221" t="n">
        <v>2</v>
      </c>
    </row>
    <row r="48" customFormat="false" ht="21.75" hidden="false" customHeight="true" outlineLevel="0" collapsed="false">
      <c r="A48" s="219" t="s">
        <v>24</v>
      </c>
      <c r="B48" s="58" t="n">
        <f aca="false">COUNTIFS(Reports!H5:H33,"Not Started")</f>
        <v>0</v>
      </c>
      <c r="C48" s="201" t="n">
        <f aca="false">IFERROR(B48/B49,"0")</f>
        <v>0</v>
      </c>
      <c r="D48" s="12"/>
      <c r="F48" s="221" t="s">
        <v>252</v>
      </c>
      <c r="G48" s="221" t="n">
        <v>3</v>
      </c>
      <c r="H48" s="221" t="s">
        <v>253</v>
      </c>
      <c r="I48" s="221" t="n">
        <v>3</v>
      </c>
    </row>
    <row r="49" customFormat="false" ht="21.75" hidden="false" customHeight="true" outlineLevel="0" collapsed="false">
      <c r="A49" s="222" t="s">
        <v>139</v>
      </c>
      <c r="B49" s="223" t="n">
        <f aca="false">SUM(B46:B48)</f>
        <v>5</v>
      </c>
      <c r="C49" s="201"/>
      <c r="D49" s="12"/>
      <c r="F49" s="221" t="s">
        <v>254</v>
      </c>
      <c r="G49" s="221" t="n">
        <v>4</v>
      </c>
      <c r="H49" s="221" t="s">
        <v>255</v>
      </c>
      <c r="I49" s="221" t="n">
        <v>4</v>
      </c>
    </row>
    <row r="50" customFormat="false" ht="21.75" hidden="false" customHeight="true" outlineLevel="0" collapsed="false">
      <c r="C50" s="26"/>
      <c r="D50" s="12"/>
      <c r="F50" s="221" t="s">
        <v>256</v>
      </c>
      <c r="G50" s="221" t="n">
        <v>5</v>
      </c>
      <c r="H50" s="221" t="s">
        <v>257</v>
      </c>
      <c r="I50" s="221" t="n">
        <v>5</v>
      </c>
    </row>
    <row r="51" customFormat="false" ht="15" hidden="false" customHeight="true" outlineLevel="0" collapsed="false">
      <c r="A51" s="11"/>
      <c r="D51" s="12"/>
    </row>
    <row r="52" customFormat="false" ht="24.75" hidden="false" customHeight="true" outlineLevel="0" collapsed="false">
      <c r="A52" s="224" t="s">
        <v>264</v>
      </c>
      <c r="B52" s="225"/>
      <c r="C52" s="225"/>
      <c r="D52" s="226"/>
    </row>
    <row r="53" customFormat="false" ht="15" hidden="false" customHeight="true" outlineLevel="0" collapsed="false">
      <c r="A53" s="11"/>
      <c r="D53" s="12"/>
    </row>
    <row r="54" customFormat="false" ht="24.75" hidden="false" customHeight="true" outlineLevel="0" collapsed="false">
      <c r="A54" s="231" t="s">
        <v>229</v>
      </c>
      <c r="B54" s="232" t="n">
        <f aca="false">IFERROR(LOOKUP(C57,{0,0.5,0.6,0.7,0.8,0.9},{0,1,2,3,4,5}),"0")</f>
        <v>0</v>
      </c>
      <c r="D54" s="12"/>
      <c r="F54" s="233" t="s">
        <v>265</v>
      </c>
      <c r="G54" s="233"/>
      <c r="H54" s="234"/>
      <c r="I54" s="234"/>
    </row>
    <row r="55" customFormat="false" ht="21.75" hidden="false" customHeight="true" outlineLevel="0" collapsed="false">
      <c r="A55" s="11"/>
      <c r="D55" s="12"/>
      <c r="F55" s="218" t="s">
        <v>266</v>
      </c>
      <c r="G55" s="218" t="s">
        <v>229</v>
      </c>
      <c r="H55" s="235"/>
      <c r="I55" s="235"/>
    </row>
    <row r="56" customFormat="false" ht="21.75" hidden="false" customHeight="true" outlineLevel="0" collapsed="false">
      <c r="A56" s="219"/>
      <c r="B56" s="220" t="s">
        <v>137</v>
      </c>
      <c r="C56" s="220" t="s">
        <v>138</v>
      </c>
      <c r="D56" s="12"/>
      <c r="F56" s="221" t="s">
        <v>246</v>
      </c>
      <c r="G56" s="221" t="n">
        <v>0</v>
      </c>
      <c r="H56" s="44"/>
      <c r="I56" s="44"/>
    </row>
    <row r="57" customFormat="false" ht="21.75" hidden="false" customHeight="true" outlineLevel="0" collapsed="false">
      <c r="A57" s="219" t="s">
        <v>25</v>
      </c>
      <c r="B57" s="58" t="n">
        <f aca="false">COUNTIFS(Meetings!H6:H27,"Done")</f>
        <v>3</v>
      </c>
      <c r="C57" s="201" t="n">
        <f aca="false">IFERROR(B57/B59,"0")</f>
        <v>0.428571428571429</v>
      </c>
      <c r="D57" s="12"/>
      <c r="F57" s="221" t="s">
        <v>249</v>
      </c>
      <c r="G57" s="221" t="n">
        <v>1</v>
      </c>
      <c r="H57" s="44"/>
      <c r="I57" s="44"/>
    </row>
    <row r="58" customFormat="false" ht="21.75" hidden="false" customHeight="true" outlineLevel="0" collapsed="false">
      <c r="A58" s="219" t="s">
        <v>26</v>
      </c>
      <c r="B58" s="58" t="n">
        <f aca="false">COUNTIFS(Meetings!H6:H27,"Not Done")</f>
        <v>4</v>
      </c>
      <c r="C58" s="201" t="n">
        <f aca="false">IFERROR(B58/B59,"0")</f>
        <v>0.571428571428571</v>
      </c>
      <c r="D58" s="12"/>
      <c r="F58" s="221" t="s">
        <v>251</v>
      </c>
      <c r="G58" s="221" t="n">
        <v>2</v>
      </c>
      <c r="H58" s="44"/>
      <c r="I58" s="44"/>
    </row>
    <row r="59" customFormat="false" ht="21.75" hidden="false" customHeight="true" outlineLevel="0" collapsed="false">
      <c r="A59" s="236" t="s">
        <v>139</v>
      </c>
      <c r="B59" s="223" t="n">
        <f aca="false">B57+B58</f>
        <v>7</v>
      </c>
      <c r="C59" s="201"/>
      <c r="D59" s="12"/>
      <c r="F59" s="221" t="s">
        <v>253</v>
      </c>
      <c r="G59" s="221" t="n">
        <v>3</v>
      </c>
      <c r="H59" s="44"/>
      <c r="I59" s="44"/>
    </row>
    <row r="60" customFormat="false" ht="21.75" hidden="false" customHeight="true" outlineLevel="0" collapsed="false">
      <c r="A60" s="219"/>
      <c r="B60" s="58"/>
      <c r="C60" s="201"/>
      <c r="D60" s="12"/>
      <c r="F60" s="221" t="s">
        <v>255</v>
      </c>
      <c r="G60" s="221" t="n">
        <v>4</v>
      </c>
      <c r="H60" s="44"/>
      <c r="I60" s="44"/>
    </row>
    <row r="61" customFormat="false" ht="21.75" hidden="false" customHeight="true" outlineLevel="0" collapsed="false">
      <c r="A61" s="51"/>
      <c r="B61" s="51"/>
      <c r="C61" s="50"/>
      <c r="D61" s="237"/>
      <c r="F61" s="221" t="s">
        <v>257</v>
      </c>
      <c r="G61" s="221" t="n">
        <v>5</v>
      </c>
      <c r="H61" s="44"/>
      <c r="I61" s="44"/>
    </row>
  </sheetData>
  <mergeCells count="7">
    <mergeCell ref="A1:F2"/>
    <mergeCell ref="F6:H6"/>
    <mergeCell ref="B13:C13"/>
    <mergeCell ref="F19:I19"/>
    <mergeCell ref="F30:I30"/>
    <mergeCell ref="F43:I43"/>
    <mergeCell ref="F54:G54"/>
  </mergeCells>
  <conditionalFormatting sqref="D13">
    <cfRule type="cellIs" priority="2" operator="greaterThan" aboveAverage="0" equalAverage="0" bottom="0" percent="0" rank="0" text="" dxfId="19">
      <formula>4.5</formula>
    </cfRule>
    <cfRule type="cellIs" priority="3" operator="between" aboveAverage="0" equalAverage="0" bottom="0" percent="0" rank="0" text="" dxfId="20">
      <formula>3</formula>
      <formula>4.5</formula>
    </cfRule>
    <cfRule type="cellIs" priority="4" operator="greaterThan" aboveAverage="0" equalAverage="0" bottom="0" percent="0" rank="0" text="" dxfId="1">
      <formula>4</formula>
    </cfRule>
    <cfRule type="cellIs" priority="5" operator="between" aboveAverage="0" equalAverage="0" bottom="0" percent="0" rank="0" text="" dxfId="21">
      <formula>2.5</formula>
      <formula>4</formula>
    </cfRule>
    <cfRule type="cellIs" priority="6" operator="between" aboveAverage="0" equalAverage="0" bottom="0" percent="0" rank="0" text="" dxfId="3">
      <formula>0</formula>
      <formula>2.49</formula>
    </cfRule>
    <cfRule type="cellIs" priority="7" operator="greaterThan" aboveAverage="0" equalAverage="0" bottom="0" percent="0" rank="0" text="" dxfId="1">
      <formula>4.5</formula>
    </cfRule>
    <cfRule type="cellIs" priority="8" operator="between" aboveAverage="0" equalAverage="0" bottom="0" percent="0" rank="0" text="" dxfId="20">
      <formula>3.1</formula>
      <formula>4.5</formula>
    </cfRule>
    <cfRule type="cellIs" priority="9" operator="greaterThan" aboveAverage="0" equalAverage="0" bottom="0" percent="0" rank="0" text="" dxfId="20">
      <formula>4.5</formula>
    </cfRule>
    <cfRule type="cellIs" priority="10" operator="greaterThan" aboveAverage="0" equalAverage="0" bottom="0" percent="0" rank="0" text="" dxfId="1">
      <formula>4.5</formula>
    </cfRule>
    <cfRule type="cellIs" priority="11" operator="between" aboveAverage="0" equalAverage="0" bottom="0" percent="0" rank="0" text="" dxfId="22">
      <formula>3.1</formula>
      <formula>4.5</formula>
    </cfRule>
    <cfRule type="cellIs" priority="12" operator="lessThan" aboveAverage="0" equalAverage="0" bottom="0" percent="0" rank="0" text="" dxfId="3">
      <formula>3</formula>
    </cfRule>
  </conditionalFormatting>
  <conditionalFormatting sqref="F3">
    <cfRule type="containsText" priority="13" operator="containsText" aboveAverage="0" equalAverage="0" bottom="0" percent="0" rank="0" text="not started" dxfId="0">
      <formula>NOT(ISERROR(SEARCH("not started",F3)))</formula>
    </cfRule>
    <cfRule type="containsText" priority="14" operator="containsText" aboveAverage="0" equalAverage="0" bottom="0" percent="0" rank="0" text="In Progress" dxfId="1">
      <formula>NOT(ISERROR(SEARCH("In Progress",F3)))</formula>
    </cfRule>
    <cfRule type="containsText" priority="15" operator="containsText" aboveAverage="0" equalAverage="0" bottom="0" percent="0" rank="0" text="completed" dxfId="2">
      <formula>NOT(ISERROR(SEARCH("completed",F3)))</formula>
    </cfRule>
    <cfRule type="containsText" priority="16" operator="containsText" aboveAverage="0" equalAverage="0" bottom="0" percent="0" rank="0" text="Pending" dxfId="3">
      <formula>NOT(ISERROR(SEARCH("Pending",F3)))</formula>
    </cfRule>
  </conditionalFormatting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2" activeCellId="0" sqref="A2"/>
    </sheetView>
  </sheetViews>
  <sheetFormatPr defaultColWidth="8.6796875" defaultRowHeight="15" zeroHeight="false" outlineLevelRow="0" outlineLevelCol="0"/>
  <cols>
    <col collapsed="false" customWidth="true" hidden="false" outlineLevel="0" max="3" min="3" style="3" width="17.76"/>
    <col collapsed="false" customWidth="true" hidden="false" outlineLevel="0" max="4" min="4" style="238" width="17.76"/>
    <col collapsed="false" customWidth="true" hidden="false" outlineLevel="0" max="5" min="5" style="3" width="12.38"/>
    <col collapsed="false" customWidth="true" hidden="false" outlineLevel="0" max="6" min="6" style="239" width="15.6"/>
  </cols>
  <sheetData>
    <row r="1" customFormat="false" ht="15" hidden="false" customHeight="true" outlineLevel="0" collapsed="false">
      <c r="A1" s="240" t="s">
        <v>216</v>
      </c>
      <c r="B1" s="240" t="s">
        <v>267</v>
      </c>
      <c r="C1" s="240" t="s">
        <v>224</v>
      </c>
      <c r="D1" s="241" t="s">
        <v>225</v>
      </c>
      <c r="E1" s="240" t="s">
        <v>229</v>
      </c>
      <c r="F1" s="242" t="s">
        <v>227</v>
      </c>
      <c r="G1" s="243"/>
    </row>
    <row r="2" customFormat="false" ht="15" hidden="false" customHeight="true" outlineLevel="0" collapsed="false">
      <c r="A2" s="3" t="s">
        <v>219</v>
      </c>
      <c r="B2" s="3" t="n">
        <v>1</v>
      </c>
      <c r="C2" s="3" t="str">
        <f aca="false">'Health check Model'!A7</f>
        <v>Tasks</v>
      </c>
      <c r="D2" s="244" t="n">
        <f aca="false">'Health check Model'!B7</f>
        <v>0.5</v>
      </c>
      <c r="E2" s="239" t="n">
        <f aca="false">'Health check Model'!C7</f>
        <v>4</v>
      </c>
      <c r="F2" s="239" t="n">
        <f aca="false">'Health check Model'!D7</f>
        <v>2</v>
      </c>
    </row>
    <row r="3" customFormat="false" ht="15" hidden="false" customHeight="true" outlineLevel="0" collapsed="false">
      <c r="A3" s="3" t="s">
        <v>219</v>
      </c>
      <c r="B3" s="3" t="n">
        <v>2</v>
      </c>
      <c r="C3" s="3" t="str">
        <f aca="false">'Health check Model'!A8</f>
        <v>Initiatives </v>
      </c>
      <c r="D3" s="244" t="n">
        <f aca="false">'Health check Model'!B8</f>
        <v>0.2</v>
      </c>
      <c r="E3" s="239" t="n">
        <f aca="false">'Health check Model'!C8</f>
        <v>4.5</v>
      </c>
      <c r="F3" s="239" t="n">
        <f aca="false">'Health check Model'!D8</f>
        <v>0.9</v>
      </c>
    </row>
    <row r="4" customFormat="false" ht="15" hidden="false" customHeight="true" outlineLevel="0" collapsed="false">
      <c r="A4" s="3" t="s">
        <v>219</v>
      </c>
      <c r="B4" s="3" t="n">
        <v>3</v>
      </c>
      <c r="C4" s="3" t="str">
        <f aca="false">'Health check Model'!A9</f>
        <v>Reports</v>
      </c>
      <c r="D4" s="244" t="n">
        <f aca="false">'Health check Model'!B9</f>
        <v>0.2</v>
      </c>
      <c r="E4" s="239" t="n">
        <f aca="false">'Health check Model'!C9</f>
        <v>5</v>
      </c>
      <c r="F4" s="239" t="n">
        <f aca="false">'Health check Model'!D9</f>
        <v>1</v>
      </c>
    </row>
    <row r="5" customFormat="false" ht="15" hidden="false" customHeight="true" outlineLevel="0" collapsed="false">
      <c r="A5" s="3" t="s">
        <v>219</v>
      </c>
      <c r="B5" s="3" t="n">
        <v>4</v>
      </c>
      <c r="C5" s="3" t="str">
        <f aca="false">'Health check Model'!A10</f>
        <v>Meetings</v>
      </c>
      <c r="D5" s="244" t="n">
        <f aca="false">'Health check Model'!B10</f>
        <v>0.1</v>
      </c>
      <c r="E5" s="239" t="n">
        <f aca="false">'Health check Model'!C10</f>
        <v>0</v>
      </c>
      <c r="F5" s="239" t="n">
        <f aca="false">'Health check Model'!D10</f>
        <v>0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C5" activeCellId="0" sqref="C5"/>
    </sheetView>
  </sheetViews>
  <sheetFormatPr defaultColWidth="8.6796875" defaultRowHeight="15" zeroHeight="false" outlineLevelRow="0" outlineLevelCol="0"/>
  <cols>
    <col collapsed="false" customWidth="true" hidden="false" outlineLevel="0" max="1" min="1" style="3" width="14.39"/>
    <col collapsed="false" customWidth="true" hidden="false" outlineLevel="0" max="2" min="2" style="3" width="18.83"/>
    <col collapsed="false" customWidth="true" hidden="false" outlineLevel="0" max="3" min="3" style="3" width="12.38"/>
  </cols>
  <sheetData>
    <row r="1" customFormat="false" ht="27" hidden="false" customHeight="true" outlineLevel="0" collapsed="false">
      <c r="A1" s="245"/>
      <c r="B1" s="246" t="str">
        <f aca="false">'Tasks Tracker'!BH119</f>
        <v>No.</v>
      </c>
      <c r="C1" s="246" t="str">
        <f aca="false">'Tasks Tracker'!BI119</f>
        <v>%</v>
      </c>
      <c r="D1" s="51"/>
    </row>
    <row r="2" customFormat="false" ht="26.25" hidden="false" customHeight="true" outlineLevel="0" collapsed="false">
      <c r="A2" s="137" t="str">
        <f aca="false">'Tasks Tracker'!BG120</f>
        <v>Completed</v>
      </c>
      <c r="B2" s="58" t="n">
        <f aca="false">'Tasks Tracker'!BH120</f>
        <v>7</v>
      </c>
      <c r="C2" s="201" t="n">
        <f aca="false">IFERROR('Tasks Tracker'!BI120,"0")</f>
        <v>0.4375</v>
      </c>
    </row>
    <row r="3" customFormat="false" ht="26.25" hidden="false" customHeight="true" outlineLevel="0" collapsed="false">
      <c r="A3" s="137" t="str">
        <f aca="false">'Tasks Tracker'!BG121</f>
        <v>In Progress</v>
      </c>
      <c r="B3" s="58" t="n">
        <f aca="false">'Tasks Tracker'!BH121</f>
        <v>6</v>
      </c>
      <c r="C3" s="201" t="n">
        <f aca="false">IFERROR('Tasks Tracker'!BI121,"0")</f>
        <v>0.375</v>
      </c>
    </row>
    <row r="4" customFormat="false" ht="26.25" hidden="false" customHeight="true" outlineLevel="0" collapsed="false">
      <c r="A4" s="137" t="str">
        <f aca="false">'Tasks Tracker'!BG122</f>
        <v>Delayed</v>
      </c>
      <c r="B4" s="58" t="n">
        <f aca="false">'Tasks Tracker'!BH122</f>
        <v>3</v>
      </c>
      <c r="C4" s="201" t="n">
        <f aca="false">IFERROR('Tasks Tracker'!BI122,"0")</f>
        <v>0.1875</v>
      </c>
    </row>
    <row r="5" customFormat="false" ht="26.25" hidden="false" customHeight="true" outlineLevel="0" collapsed="false">
      <c r="A5" s="137" t="str">
        <f aca="false">'Tasks Tracker'!BG123</f>
        <v>Not Started</v>
      </c>
      <c r="B5" s="58" t="n">
        <f aca="false">'Tasks Tracker'!BH123</f>
        <v>0</v>
      </c>
      <c r="C5" s="201" t="n">
        <f aca="false">IFERROR('Tasks Tracker'!BI123,"0")</f>
        <v>0</v>
      </c>
    </row>
    <row r="6" customFormat="false" ht="27" hidden="false" customHeight="true" outlineLevel="0" collapsed="false">
      <c r="A6" s="164" t="str">
        <f aca="false">'Tasks Tracker'!BG124</f>
        <v>Total</v>
      </c>
      <c r="B6" s="223" t="n">
        <f aca="false">'Tasks Tracker'!BH124</f>
        <v>16</v>
      </c>
      <c r="C6" s="201"/>
    </row>
    <row r="7" customFormat="false" ht="15" hidden="false" customHeight="true" outlineLevel="0" collapsed="false"/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30" activeCellId="0" sqref="B30"/>
    </sheetView>
  </sheetViews>
  <sheetFormatPr defaultColWidth="8.6796875" defaultRowHeight="15" zeroHeight="false" outlineLevelRow="0" outlineLevelCol="0"/>
  <cols>
    <col collapsed="false" customWidth="true" hidden="false" outlineLevel="0" max="2" min="2" style="3" width="10.51"/>
    <col collapsed="false" customWidth="true" hidden="false" outlineLevel="0" max="3" min="3" style="239" width="8.87"/>
  </cols>
  <sheetData>
    <row r="1" customFormat="false" ht="15" hidden="false" customHeight="true" outlineLevel="0" collapsed="false">
      <c r="A1" s="3" t="s">
        <v>216</v>
      </c>
      <c r="B1" s="3" t="s">
        <v>268</v>
      </c>
      <c r="C1" s="239" t="s">
        <v>269</v>
      </c>
    </row>
    <row r="2" customFormat="false" ht="15" hidden="false" customHeight="true" outlineLevel="0" collapsed="false">
      <c r="A2" s="3" t="s">
        <v>219</v>
      </c>
      <c r="B2" s="247" t="n">
        <v>46191</v>
      </c>
      <c r="C2" s="239" t="n">
        <v>3.1</v>
      </c>
    </row>
    <row r="3" customFormat="false" ht="15" hidden="false" customHeight="true" outlineLevel="0" collapsed="false">
      <c r="A3" s="3" t="s">
        <v>219</v>
      </c>
      <c r="B3" s="247" t="n">
        <v>46198</v>
      </c>
      <c r="C3" s="239" t="n">
        <v>3.4</v>
      </c>
    </row>
    <row r="4" customFormat="false" ht="15" hidden="false" customHeight="true" outlineLevel="0" collapsed="false">
      <c r="A4" s="3" t="s">
        <v>219</v>
      </c>
      <c r="B4" s="247" t="n">
        <v>46205</v>
      </c>
      <c r="C4" s="239" t="n">
        <v>4.6</v>
      </c>
    </row>
    <row r="5" customFormat="false" ht="15" hidden="false" customHeight="true" outlineLevel="0" collapsed="false">
      <c r="A5" s="3" t="s">
        <v>219</v>
      </c>
      <c r="B5" s="247" t="n">
        <v>46212</v>
      </c>
      <c r="C5" s="239" t="n">
        <f aca="false">'Health check Model'!D13</f>
        <v>3.9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J14" activeCellId="0" sqref="J14"/>
    </sheetView>
  </sheetViews>
  <sheetFormatPr defaultColWidth="8.875" defaultRowHeight="15" zeroHeight="false" outlineLevelRow="0" outlineLevelCol="0"/>
  <cols>
    <col collapsed="false" customWidth="false" hidden="false" outlineLevel="0" max="2" min="1" style="166" width="8.87"/>
    <col collapsed="false" customWidth="true" hidden="false" outlineLevel="0" max="3" min="3" style="166" width="13.03"/>
    <col collapsed="false" customWidth="false" hidden="false" outlineLevel="0" max="5" min="4" style="166" width="8.87"/>
    <col collapsed="false" customWidth="true" hidden="false" outlineLevel="0" max="6" min="6" style="166" width="10.09"/>
    <col collapsed="false" customWidth="false" hidden="false" outlineLevel="0" max="16384" min="7" style="166" width="8.87"/>
  </cols>
  <sheetData>
    <row r="1" customFormat="false" ht="15" hidden="false" customHeight="true" outlineLevel="0" collapsed="false">
      <c r="A1" s="243" t="s">
        <v>216</v>
      </c>
      <c r="B1" s="248" t="s">
        <v>270</v>
      </c>
      <c r="C1" s="248" t="s">
        <v>141</v>
      </c>
      <c r="D1" s="248" t="s">
        <v>166</v>
      </c>
      <c r="E1" s="248" t="s">
        <v>99</v>
      </c>
      <c r="F1" s="248" t="s">
        <v>271</v>
      </c>
    </row>
    <row r="2" customFormat="false" ht="15" hidden="false" customHeight="true" outlineLevel="0" collapsed="false">
      <c r="A2" s="166" t="s">
        <v>219</v>
      </c>
      <c r="B2" s="249" t="n">
        <v>1</v>
      </c>
      <c r="C2" s="166" t="str">
        <f aca="false">Meetings!B6</f>
        <v>الاجتماع الأسبوعي لفريق الإدارة</v>
      </c>
      <c r="D2" s="166" t="str">
        <f aca="false">Meetings!F6</f>
        <v>Weekly</v>
      </c>
      <c r="E2" s="166" t="str">
        <f aca="false">Meetings!H6</f>
        <v>Done</v>
      </c>
      <c r="F2" s="166" t="str">
        <f aca="false">Meetings!D6</f>
        <v>Others</v>
      </c>
    </row>
    <row r="3" customFormat="false" ht="15" hidden="false" customHeight="true" outlineLevel="0" collapsed="false">
      <c r="A3" s="166" t="s">
        <v>219</v>
      </c>
      <c r="B3" s="249" t="n">
        <v>2</v>
      </c>
      <c r="C3" s="166" t="str">
        <f aca="false">Meetings!B7</f>
        <v>محطة إقفال الخميس مع المدير (1:1)</v>
      </c>
      <c r="D3" s="166" t="str">
        <f aca="false">Meetings!F7</f>
        <v>Weekly</v>
      </c>
      <c r="E3" s="166" t="str">
        <f aca="false">Meetings!H7</f>
        <v>Not Done</v>
      </c>
      <c r="F3" s="166" t="str">
        <f aca="false">Meetings!D7</f>
        <v>Others</v>
      </c>
    </row>
    <row r="4" customFormat="false" ht="15" hidden="false" customHeight="true" outlineLevel="0" collapsed="false">
      <c r="A4" s="166" t="s">
        <v>219</v>
      </c>
      <c r="B4" s="249" t="n">
        <v>3</v>
      </c>
      <c r="C4" s="166" t="str">
        <f aca="false">Meetings!B8</f>
        <v>اجتماع مواءمة السياسات والمعايير والجودة</v>
      </c>
      <c r="D4" s="166" t="n">
        <f aca="false">Meetings!F8</f>
        <v>0</v>
      </c>
      <c r="E4" s="166" t="str">
        <f aca="false">Meetings!H8</f>
        <v>Not Done</v>
      </c>
      <c r="F4" s="166" t="str">
        <f aca="false">Meetings!D8</f>
        <v>Others</v>
      </c>
    </row>
    <row r="5" customFormat="false" ht="15" hidden="false" customHeight="true" outlineLevel="0" collapsed="false">
      <c r="A5" s="166" t="s">
        <v>219</v>
      </c>
      <c r="B5" s="249" t="n">
        <v>4</v>
      </c>
      <c r="C5" s="166" t="str">
        <f aca="false">Meetings!B9</f>
        <v>اجتماع مواءمة الامتثال والتفتيش</v>
      </c>
      <c r="D5" s="166" t="n">
        <f aca="false">Meetings!F9</f>
        <v>0</v>
      </c>
      <c r="E5" s="166" t="str">
        <f aca="false">Meetings!H9</f>
        <v>Not Done</v>
      </c>
      <c r="F5" s="166" t="str">
        <f aca="false">Meetings!D9</f>
        <v>Others</v>
      </c>
    </row>
    <row r="6" customFormat="false" ht="15" hidden="false" customHeight="true" outlineLevel="0" collapsed="false">
      <c r="A6" s="166" t="s">
        <v>219</v>
      </c>
      <c r="B6" s="249" t="n">
        <v>5</v>
      </c>
      <c r="C6" s="166" t="str">
        <f aca="false">Meetings!B10</f>
        <v>اجتماع مناقشة السياسات مع مرام الشهراني</v>
      </c>
      <c r="D6" s="166" t="n">
        <f aca="false">Meetings!F10</f>
        <v>0</v>
      </c>
      <c r="E6" s="166" t="str">
        <f aca="false">Meetings!H10</f>
        <v>Done</v>
      </c>
      <c r="F6" s="166" t="str">
        <f aca="false">Meetings!D10</f>
        <v>Others</v>
      </c>
    </row>
    <row r="7" customFormat="false" ht="15" hidden="false" customHeight="true" outlineLevel="0" collapsed="false">
      <c r="A7" s="166" t="s">
        <v>219</v>
      </c>
      <c r="B7" s="249" t="n">
        <v>6</v>
      </c>
      <c r="C7" s="166" t="str">
        <f aca="false">Meetings!B11</f>
        <v>اجتماع مع د. منار</v>
      </c>
      <c r="D7" s="166" t="n">
        <f aca="false">Meetings!F11</f>
        <v>0</v>
      </c>
      <c r="E7" s="166" t="str">
        <f aca="false">Meetings!H11</f>
        <v>Not Done</v>
      </c>
      <c r="F7" s="166" t="str">
        <f aca="false">Meetings!D11</f>
        <v>External</v>
      </c>
    </row>
    <row r="8" customFormat="false" ht="15" hidden="false" customHeight="true" outlineLevel="0" collapsed="false">
      <c r="A8" s="166" t="s">
        <v>219</v>
      </c>
      <c r="B8" s="249" t="n">
        <v>7</v>
      </c>
      <c r="C8" s="166" t="str">
        <f aca="false">Meetings!B12</f>
        <v>متابعة مكتب البيانات (بحث د. منيرة العيسى)</v>
      </c>
      <c r="D8" s="166" t="n">
        <f aca="false">Meetings!F12</f>
        <v>0</v>
      </c>
      <c r="E8" s="166" t="str">
        <f aca="false">Meetings!H12</f>
        <v>Done</v>
      </c>
      <c r="F8" s="166" t="str">
        <f aca="false">Meetings!D12</f>
        <v>External</v>
      </c>
    </row>
    <row r="9" customFormat="false" ht="15" hidden="false" customHeight="true" outlineLevel="0" collapsed="false">
      <c r="B9" s="249" t="n">
        <v>8</v>
      </c>
      <c r="C9" s="166" t="n">
        <f aca="false">Meetings!B13</f>
        <v>0</v>
      </c>
      <c r="D9" s="166" t="n">
        <f aca="false">Meetings!F13</f>
        <v>0</v>
      </c>
      <c r="E9" s="166" t="n">
        <f aca="false">Meetings!H13</f>
        <v>0</v>
      </c>
      <c r="F9" s="166" t="n">
        <f aca="false">Meetings!D13</f>
        <v>0</v>
      </c>
    </row>
    <row r="10" customFormat="false" ht="15" hidden="false" customHeight="true" outlineLevel="0" collapsed="false">
      <c r="B10" s="249" t="n">
        <v>9</v>
      </c>
      <c r="C10" s="166" t="n">
        <f aca="false">Meetings!B14</f>
        <v>0</v>
      </c>
      <c r="D10" s="166" t="n">
        <f aca="false">Meetings!F14</f>
        <v>0</v>
      </c>
      <c r="E10" s="166" t="n">
        <f aca="false">Meetings!H14</f>
        <v>0</v>
      </c>
      <c r="F10" s="166" t="n">
        <f aca="false">Meetings!D14</f>
        <v>0</v>
      </c>
    </row>
    <row r="11" customFormat="false" ht="15" hidden="false" customHeight="true" outlineLevel="0" collapsed="false">
      <c r="B11" s="249" t="n">
        <v>10</v>
      </c>
      <c r="C11" s="166" t="n">
        <f aca="false">Meetings!B15</f>
        <v>0</v>
      </c>
      <c r="D11" s="166" t="n">
        <f aca="false">Meetings!F15</f>
        <v>0</v>
      </c>
      <c r="E11" s="166" t="n">
        <f aca="false">Meetings!H15</f>
        <v>0</v>
      </c>
      <c r="F11" s="166" t="n">
        <f aca="false">Meetings!D15</f>
        <v>0</v>
      </c>
    </row>
    <row r="12" customFormat="false" ht="15" hidden="false" customHeight="true" outlineLevel="0" collapsed="false">
      <c r="B12" s="249" t="n">
        <v>11</v>
      </c>
      <c r="C12" s="166" t="n">
        <f aca="false">Meetings!B16</f>
        <v>0</v>
      </c>
      <c r="D12" s="166" t="n">
        <f aca="false">Meetings!F16</f>
        <v>0</v>
      </c>
      <c r="E12" s="166" t="n">
        <f aca="false">Meetings!H16</f>
        <v>0</v>
      </c>
      <c r="F12" s="166" t="n">
        <f aca="false">Meetings!D16</f>
        <v>0</v>
      </c>
    </row>
    <row r="13" customFormat="false" ht="15" hidden="false" customHeight="true" outlineLevel="0" collapsed="false">
      <c r="B13" s="249" t="n">
        <v>12</v>
      </c>
      <c r="C13" s="166" t="n">
        <f aca="false">Meetings!B17</f>
        <v>0</v>
      </c>
      <c r="D13" s="166" t="n">
        <f aca="false">Meetings!F17</f>
        <v>0</v>
      </c>
      <c r="E13" s="166" t="n">
        <f aca="false">Meetings!H17</f>
        <v>0</v>
      </c>
      <c r="F13" s="166" t="n">
        <f aca="false">Meetings!D17</f>
        <v>0</v>
      </c>
    </row>
    <row r="14" customFormat="false" ht="15" hidden="false" customHeight="true" outlineLevel="0" collapsed="false">
      <c r="B14" s="249" t="n">
        <v>13</v>
      </c>
      <c r="C14" s="166" t="n">
        <f aca="false">Meetings!B18</f>
        <v>0</v>
      </c>
      <c r="D14" s="166" t="n">
        <f aca="false">Meetings!F18</f>
        <v>0</v>
      </c>
      <c r="E14" s="166" t="n">
        <f aca="false">Meetings!H18</f>
        <v>0</v>
      </c>
      <c r="F14" s="166" t="n">
        <f aca="false">Meetings!D18</f>
        <v>0</v>
      </c>
    </row>
    <row r="15" customFormat="false" ht="15" hidden="false" customHeight="true" outlineLevel="0" collapsed="false">
      <c r="B15" s="249" t="n">
        <v>14</v>
      </c>
      <c r="C15" s="166" t="n">
        <f aca="false">Meetings!B19</f>
        <v>0</v>
      </c>
      <c r="D15" s="166" t="n">
        <f aca="false">Meetings!F19</f>
        <v>0</v>
      </c>
      <c r="E15" s="166" t="n">
        <f aca="false">Meetings!H19</f>
        <v>0</v>
      </c>
      <c r="F15" s="166" t="n">
        <f aca="false">Meetings!D19</f>
        <v>0</v>
      </c>
    </row>
    <row r="16" customFormat="false" ht="15" hidden="false" customHeight="true" outlineLevel="0" collapsed="false">
      <c r="B16" s="249" t="n">
        <v>15</v>
      </c>
      <c r="C16" s="166" t="n">
        <f aca="false">Meetings!B20</f>
        <v>0</v>
      </c>
      <c r="D16" s="166" t="n">
        <f aca="false">Meetings!F20</f>
        <v>0</v>
      </c>
      <c r="E16" s="166" t="n">
        <f aca="false">Meetings!H20</f>
        <v>0</v>
      </c>
      <c r="F16" s="166" t="n">
        <f aca="false">Meetings!D20</f>
        <v>0</v>
      </c>
    </row>
    <row r="17" customFormat="false" ht="15" hidden="false" customHeight="true" outlineLevel="0" collapsed="false">
      <c r="B17" s="249" t="n">
        <v>16</v>
      </c>
      <c r="C17" s="166" t="n">
        <f aca="false">Meetings!B21</f>
        <v>0</v>
      </c>
      <c r="D17" s="166" t="n">
        <f aca="false">Meetings!F21</f>
        <v>0</v>
      </c>
      <c r="E17" s="166" t="n">
        <f aca="false">Meetings!H21</f>
        <v>0</v>
      </c>
      <c r="F17" s="166" t="n">
        <f aca="false">Meetings!D21</f>
        <v>0</v>
      </c>
    </row>
    <row r="18" customFormat="false" ht="15" hidden="false" customHeight="true" outlineLevel="0" collapsed="false">
      <c r="B18" s="249" t="n">
        <v>17</v>
      </c>
      <c r="C18" s="166" t="n">
        <f aca="false">Meetings!B22</f>
        <v>0</v>
      </c>
      <c r="D18" s="166" t="n">
        <f aca="false">Meetings!F22</f>
        <v>0</v>
      </c>
      <c r="E18" s="166" t="n">
        <f aca="false">Meetings!H22</f>
        <v>0</v>
      </c>
      <c r="F18" s="166" t="n">
        <f aca="false">Meetings!D22</f>
        <v>0</v>
      </c>
    </row>
    <row r="19" customFormat="false" ht="15" hidden="false" customHeight="true" outlineLevel="0" collapsed="false">
      <c r="B19" s="249" t="n">
        <v>18</v>
      </c>
      <c r="C19" s="166" t="n">
        <f aca="false">Meetings!B23</f>
        <v>0</v>
      </c>
      <c r="D19" s="166" t="n">
        <f aca="false">Meetings!F23</f>
        <v>0</v>
      </c>
      <c r="E19" s="166" t="n">
        <f aca="false">Meetings!H23</f>
        <v>0</v>
      </c>
      <c r="F19" s="166" t="n">
        <f aca="false">Meetings!D23</f>
        <v>0</v>
      </c>
    </row>
    <row r="20" customFormat="false" ht="15" hidden="false" customHeight="true" outlineLevel="0" collapsed="false">
      <c r="B20" s="249" t="n">
        <v>19</v>
      </c>
      <c r="C20" s="166" t="n">
        <f aca="false">Meetings!B24</f>
        <v>0</v>
      </c>
      <c r="D20" s="166" t="n">
        <f aca="false">Meetings!F24</f>
        <v>0</v>
      </c>
      <c r="E20" s="166" t="n">
        <f aca="false">Meetings!H24</f>
        <v>0</v>
      </c>
      <c r="F20" s="166" t="n">
        <f aca="false">Meetings!D24</f>
        <v>0</v>
      </c>
    </row>
    <row r="21" customFormat="false" ht="15" hidden="false" customHeight="true" outlineLevel="0" collapsed="false">
      <c r="B21" s="249" t="n">
        <v>20</v>
      </c>
      <c r="C21" s="166" t="n">
        <f aca="false">Meetings!B25</f>
        <v>0</v>
      </c>
      <c r="D21" s="166" t="n">
        <f aca="false">Meetings!F25</f>
        <v>0</v>
      </c>
      <c r="E21" s="166" t="n">
        <f aca="false">Meetings!H25</f>
        <v>0</v>
      </c>
      <c r="F21" s="166" t="n">
        <f aca="false">Meetings!D25</f>
        <v>0</v>
      </c>
    </row>
    <row r="22" customFormat="false" ht="15" hidden="false" customHeight="true" outlineLevel="0" collapsed="false">
      <c r="B22" s="249" t="n">
        <v>21</v>
      </c>
      <c r="C22" s="166" t="n">
        <f aca="false">Meetings!B26</f>
        <v>0</v>
      </c>
      <c r="D22" s="166" t="n">
        <f aca="false">Meetings!F26</f>
        <v>0</v>
      </c>
      <c r="E22" s="166" t="n">
        <f aca="false">Meetings!H26</f>
        <v>0</v>
      </c>
      <c r="F22" s="166" t="n">
        <f aca="false">Meetings!D26</f>
        <v>0</v>
      </c>
    </row>
    <row r="23" customFormat="false" ht="15" hidden="false" customHeight="true" outlineLevel="0" collapsed="false">
      <c r="B23" s="249" t="n">
        <v>22</v>
      </c>
      <c r="C23" s="166" t="n">
        <f aca="false">Meetings!B27</f>
        <v>0</v>
      </c>
      <c r="D23" s="166" t="n">
        <f aca="false">Meetings!F27</f>
        <v>0</v>
      </c>
      <c r="E23" s="166" t="n">
        <f aca="false">Meetings!H27</f>
        <v>0</v>
      </c>
      <c r="F23" s="166" t="n">
        <f aca="false">Meetings!D27</f>
        <v>0</v>
      </c>
    </row>
  </sheetData>
  <printOptions headings="false" gridLines="false" gridLinesSet="true" horizontalCentered="false" verticalCentered="false"/>
  <pageMargins left="0.7" right="0.7" top="0.75" bottom="0.75" header="0.511811023622047" footer="0.3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>&amp;C&amp;12 &amp;K008000_x005F_x000d_#  Classified as: Public</oddFooter>
  </headerFooter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0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20" activeCellId="0" sqref="B20"/>
    </sheetView>
  </sheetViews>
  <sheetFormatPr defaultColWidth="8.6796875" defaultRowHeight="15" zeroHeight="false" outlineLevelRow="0" outlineLevelCol="0"/>
  <cols>
    <col collapsed="false" customWidth="true" hidden="false" outlineLevel="0" max="2" min="1" style="3" width="34.84"/>
  </cols>
  <sheetData>
    <row r="1" customFormat="false" ht="15" hidden="false" customHeight="true" outlineLevel="0" collapsed="false">
      <c r="A1" s="250" t="s">
        <v>272</v>
      </c>
      <c r="B1" s="250" t="s">
        <v>273</v>
      </c>
    </row>
    <row r="2" customFormat="false" ht="15" hidden="false" customHeight="true" outlineLevel="0" collapsed="false">
      <c r="A2" s="251" t="str">
        <f aca="false">'Tasks Tracker'!J5</f>
        <v>م. حمادي الشعائره</v>
      </c>
      <c r="B2" s="251" t="str">
        <f aca="false">'Tasks Tracker'!J5</f>
        <v>م. حمادي الشعائره</v>
      </c>
    </row>
    <row r="3" customFormat="false" ht="15" hidden="false" customHeight="true" outlineLevel="0" collapsed="false">
      <c r="A3" s="251" t="str">
        <f aca="false">'Tasks Tracker'!J6</f>
        <v>أ. فيصل الرحيمي</v>
      </c>
      <c r="B3" s="251" t="str">
        <f aca="false">'Tasks Tracker'!J6</f>
        <v>أ. فيصل الرحيمي</v>
      </c>
    </row>
    <row r="4" customFormat="false" ht="15" hidden="false" customHeight="true" outlineLevel="0" collapsed="false">
      <c r="A4" s="251" t="str">
        <f aca="false">'Tasks Tracker'!J7</f>
        <v>م. حمادي الشعائره</v>
      </c>
      <c r="B4" s="251" t="str">
        <f aca="false">'Tasks Tracker'!J7</f>
        <v>م. حمادي الشعائره</v>
      </c>
    </row>
    <row r="5" customFormat="false" ht="15" hidden="false" customHeight="true" outlineLevel="0" collapsed="false">
      <c r="A5" s="251" t="str">
        <f aca="false">'Tasks Tracker'!J8</f>
        <v>أ. فيصل الرحيمي</v>
      </c>
      <c r="B5" s="251" t="str">
        <f aca="false">'Tasks Tracker'!J8</f>
        <v>أ. فيصل الرحيمي</v>
      </c>
    </row>
    <row r="6" customFormat="false" ht="15" hidden="false" customHeight="true" outlineLevel="0" collapsed="false">
      <c r="A6" s="251" t="str">
        <f aca="false">'Tasks Tracker'!J9</f>
        <v>أ. صالحة المالكي</v>
      </c>
      <c r="B6" s="251" t="str">
        <f aca="false">'Tasks Tracker'!J9</f>
        <v>أ. صالحة المالكي</v>
      </c>
    </row>
    <row r="7" customFormat="false" ht="15" hidden="false" customHeight="true" outlineLevel="0" collapsed="false">
      <c r="A7" s="251" t="str">
        <f aca="false">'Tasks Tracker'!J10</f>
        <v>أ. رهف جباري</v>
      </c>
      <c r="B7" s="251" t="str">
        <f aca="false">'Tasks Tracker'!J10</f>
        <v>أ. رهف جباري</v>
      </c>
    </row>
    <row r="8" customFormat="false" ht="15" hidden="false" customHeight="true" outlineLevel="0" collapsed="false">
      <c r="A8" s="251" t="str">
        <f aca="false">'Tasks Tracker'!J11</f>
        <v>أ. فيصل الرحيمي</v>
      </c>
      <c r="B8" s="251" t="str">
        <f aca="false">'Tasks Tracker'!J11</f>
        <v>أ. فيصل الرحيمي</v>
      </c>
    </row>
    <row r="9" customFormat="false" ht="15" hidden="false" customHeight="true" outlineLevel="0" collapsed="false">
      <c r="A9" s="251" t="str">
        <f aca="false">'Tasks Tracker'!J12</f>
        <v>أ. نورة التركي</v>
      </c>
      <c r="B9" s="251" t="str">
        <f aca="false">'Tasks Tracker'!J12</f>
        <v>أ. نورة التركي</v>
      </c>
    </row>
    <row r="10" customFormat="false" ht="15" hidden="false" customHeight="true" outlineLevel="0" collapsed="false">
      <c r="A10" s="251" t="str">
        <f aca="false">'Tasks Tracker'!J13</f>
        <v>م. حمادي الشعائره</v>
      </c>
      <c r="B10" s="251" t="str">
        <f aca="false">'Tasks Tracker'!J13</f>
        <v>م. حمادي الشعائره</v>
      </c>
    </row>
    <row r="11" customFormat="false" ht="25.5" hidden="false" customHeight="true" outlineLevel="0" collapsed="false">
      <c r="A11" s="252" t="str">
        <f aca="false">'Tasks Tracker'!J14</f>
        <v>م. علي الزهراني</v>
      </c>
      <c r="B11" s="252" t="str">
        <f aca="false">'Tasks Tracker'!J14</f>
        <v>م. علي الزهراني</v>
      </c>
    </row>
    <row r="12" customFormat="false" ht="23.25" hidden="false" customHeight="true" outlineLevel="0" collapsed="false">
      <c r="A12" s="252" t="str">
        <f aca="false">'Tasks Tracker'!J15</f>
        <v>أ. نورة التركي</v>
      </c>
      <c r="B12" s="252" t="str">
        <f aca="false">'Tasks Tracker'!J15</f>
        <v>أ. نورة التركي</v>
      </c>
    </row>
    <row r="13" customFormat="false" ht="34.5" hidden="false" customHeight="true" outlineLevel="0" collapsed="false">
      <c r="A13" s="252" t="str">
        <f aca="false">'Tasks Tracker'!J16</f>
        <v>أ. صفا الشهري</v>
      </c>
      <c r="B13" s="252" t="str">
        <f aca="false">'Tasks Tracker'!J16</f>
        <v>أ. صفا الشهري</v>
      </c>
    </row>
    <row r="14" customFormat="false" ht="15" hidden="false" customHeight="true" outlineLevel="0" collapsed="false">
      <c r="A14" s="251" t="str">
        <f aca="false">'Tasks Tracker'!J17</f>
        <v>أ. نورة التركي</v>
      </c>
      <c r="B14" s="251" t="str">
        <f aca="false">'Tasks Tracker'!J17</f>
        <v>أ. نورة التركي</v>
      </c>
    </row>
    <row r="15" customFormat="false" ht="15" hidden="false" customHeight="true" outlineLevel="0" collapsed="false">
      <c r="A15" s="251" t="str">
        <f aca="false">'Tasks Tracker'!J18</f>
        <v>أ. نورة التركي</v>
      </c>
      <c r="B15" s="251" t="str">
        <f aca="false">'Tasks Tracker'!J18</f>
        <v>أ. نورة التركي</v>
      </c>
    </row>
    <row r="16" customFormat="false" ht="23.25" hidden="false" customHeight="true" outlineLevel="0" collapsed="false">
      <c r="A16" s="252" t="str">
        <f aca="false">'Tasks Tracker'!J19</f>
        <v>م. علي الزهراني</v>
      </c>
      <c r="B16" s="252" t="str">
        <f aca="false">'Tasks Tracker'!J19</f>
        <v>م. علي الزهراني</v>
      </c>
    </row>
    <row r="17" customFormat="false" ht="15" hidden="false" customHeight="true" outlineLevel="0" collapsed="false">
      <c r="A17" s="251" t="str">
        <f aca="false">'Tasks Tracker'!J20</f>
        <v>م. علي الزهراني</v>
      </c>
      <c r="B17" s="251" t="str">
        <f aca="false">'Tasks Tracker'!J20</f>
        <v>م. علي الزهراني</v>
      </c>
    </row>
    <row r="18" customFormat="false" ht="15" hidden="false" customHeight="true" outlineLevel="0" collapsed="false">
      <c r="A18" s="251" t="n">
        <f aca="false">'Tasks Tracker'!J21</f>
        <v>0</v>
      </c>
      <c r="B18" s="251" t="n">
        <f aca="false">'Tasks Tracker'!J21</f>
        <v>0</v>
      </c>
    </row>
    <row r="19" customFormat="false" ht="15" hidden="false" customHeight="true" outlineLevel="0" collapsed="false">
      <c r="A19" s="251" t="n">
        <f aca="false">'Tasks Tracker'!J22</f>
        <v>0</v>
      </c>
      <c r="B19" s="251" t="n">
        <f aca="false">'Tasks Tracker'!J22</f>
        <v>0</v>
      </c>
    </row>
    <row r="20" customFormat="false" ht="15" hidden="false" customHeight="true" outlineLevel="0" collapsed="false">
      <c r="A20" s="251" t="n">
        <f aca="false">'Tasks Tracker'!J23</f>
        <v>0</v>
      </c>
      <c r="B20" s="251" t="n">
        <f aca="false">'Tasks Tracker'!J23</f>
        <v>0</v>
      </c>
    </row>
    <row r="21" customFormat="false" ht="15" hidden="false" customHeight="true" outlineLevel="0" collapsed="false">
      <c r="A21" s="251" t="n">
        <f aca="false">'Tasks Tracker'!J24</f>
        <v>0</v>
      </c>
      <c r="B21" s="251" t="n">
        <f aca="false">'Tasks Tracker'!J24</f>
        <v>0</v>
      </c>
    </row>
    <row r="22" customFormat="false" ht="15" hidden="false" customHeight="true" outlineLevel="0" collapsed="false">
      <c r="A22" s="251" t="n">
        <f aca="false">'Tasks Tracker'!J25</f>
        <v>0</v>
      </c>
      <c r="B22" s="251" t="n">
        <f aca="false">'Tasks Tracker'!J25</f>
        <v>0</v>
      </c>
    </row>
    <row r="23" customFormat="false" ht="15" hidden="false" customHeight="true" outlineLevel="0" collapsed="false">
      <c r="A23" s="251" t="n">
        <f aca="false">'Tasks Tracker'!J26</f>
        <v>0</v>
      </c>
      <c r="B23" s="251" t="n">
        <f aca="false">'Tasks Tracker'!J26</f>
        <v>0</v>
      </c>
    </row>
    <row r="24" customFormat="false" ht="15" hidden="false" customHeight="true" outlineLevel="0" collapsed="false">
      <c r="A24" s="251" t="n">
        <f aca="false">'Tasks Tracker'!J27</f>
        <v>0</v>
      </c>
      <c r="B24" s="251" t="n">
        <f aca="false">'Tasks Tracker'!J27</f>
        <v>0</v>
      </c>
    </row>
    <row r="25" customFormat="false" ht="15" hidden="false" customHeight="true" outlineLevel="0" collapsed="false">
      <c r="A25" s="251" t="n">
        <f aca="false">'Tasks Tracker'!J28</f>
        <v>0</v>
      </c>
      <c r="B25" s="251" t="n">
        <f aca="false">'Tasks Tracker'!J28</f>
        <v>0</v>
      </c>
    </row>
    <row r="26" customFormat="false" ht="15" hidden="false" customHeight="true" outlineLevel="0" collapsed="false">
      <c r="A26" s="251" t="n">
        <f aca="false">'Tasks Tracker'!J29</f>
        <v>0</v>
      </c>
      <c r="B26" s="251" t="n">
        <f aca="false">'Tasks Tracker'!J29</f>
        <v>0</v>
      </c>
    </row>
    <row r="27" customFormat="false" ht="15" hidden="false" customHeight="true" outlineLevel="0" collapsed="false">
      <c r="A27" s="251" t="n">
        <f aca="false">'Tasks Tracker'!J30</f>
        <v>0</v>
      </c>
      <c r="B27" s="251" t="n">
        <f aca="false">'Tasks Tracker'!J30</f>
        <v>0</v>
      </c>
    </row>
    <row r="28" customFormat="false" ht="15" hidden="false" customHeight="true" outlineLevel="0" collapsed="false">
      <c r="A28" s="251" t="n">
        <f aca="false">'Tasks Tracker'!J31</f>
        <v>0</v>
      </c>
      <c r="B28" s="251" t="n">
        <f aca="false">'Tasks Tracker'!J31</f>
        <v>0</v>
      </c>
    </row>
    <row r="29" customFormat="false" ht="15" hidden="false" customHeight="true" outlineLevel="0" collapsed="false">
      <c r="A29" s="251" t="n">
        <f aca="false">'Tasks Tracker'!J32</f>
        <v>0</v>
      </c>
      <c r="B29" s="251" t="n">
        <f aca="false">'Tasks Tracker'!J32</f>
        <v>0</v>
      </c>
    </row>
    <row r="30" customFormat="false" ht="15" hidden="false" customHeight="true" outlineLevel="0" collapsed="false">
      <c r="A30" s="251" t="n">
        <f aca="false">'Tasks Tracker'!J33</f>
        <v>0</v>
      </c>
      <c r="B30" s="251" t="n">
        <f aca="false">'Tasks Tracker'!J33</f>
        <v>0</v>
      </c>
    </row>
    <row r="31" customFormat="false" ht="15" hidden="false" customHeight="true" outlineLevel="0" collapsed="false">
      <c r="A31" s="251" t="n">
        <f aca="false">'Tasks Tracker'!J34</f>
        <v>0</v>
      </c>
      <c r="B31" s="251" t="n">
        <f aca="false">'Tasks Tracker'!J34</f>
        <v>0</v>
      </c>
    </row>
    <row r="32" customFormat="false" ht="15" hidden="false" customHeight="true" outlineLevel="0" collapsed="false">
      <c r="A32" s="251" t="n">
        <f aca="false">'Tasks Tracker'!J35</f>
        <v>0</v>
      </c>
      <c r="B32" s="251" t="n">
        <f aca="false">'Tasks Tracker'!J35</f>
        <v>0</v>
      </c>
    </row>
    <row r="33" customFormat="false" ht="15" hidden="false" customHeight="true" outlineLevel="0" collapsed="false">
      <c r="A33" s="251" t="n">
        <f aca="false">'Tasks Tracker'!J36</f>
        <v>0</v>
      </c>
      <c r="B33" s="251" t="n">
        <f aca="false">'Tasks Tracker'!J36</f>
        <v>0</v>
      </c>
    </row>
    <row r="34" customFormat="false" ht="15" hidden="false" customHeight="true" outlineLevel="0" collapsed="false">
      <c r="A34" s="251" t="n">
        <f aca="false">'Tasks Tracker'!J37</f>
        <v>0</v>
      </c>
      <c r="B34" s="251" t="n">
        <f aca="false">'Tasks Tracker'!J37</f>
        <v>0</v>
      </c>
    </row>
    <row r="35" customFormat="false" ht="15" hidden="false" customHeight="true" outlineLevel="0" collapsed="false">
      <c r="A35" s="251" t="n">
        <f aca="false">'Tasks Tracker'!J38</f>
        <v>0</v>
      </c>
      <c r="B35" s="251" t="n">
        <f aca="false">'Tasks Tracker'!J38</f>
        <v>0</v>
      </c>
    </row>
    <row r="36" customFormat="false" ht="15" hidden="false" customHeight="true" outlineLevel="0" collapsed="false">
      <c r="A36" s="251" t="n">
        <f aca="false">'Tasks Tracker'!J39</f>
        <v>0</v>
      </c>
      <c r="B36" s="251" t="n">
        <f aca="false">'Tasks Tracker'!J39</f>
        <v>0</v>
      </c>
    </row>
    <row r="37" customFormat="false" ht="15" hidden="false" customHeight="true" outlineLevel="0" collapsed="false">
      <c r="A37" s="251" t="n">
        <f aca="false">'Tasks Tracker'!J40</f>
        <v>0</v>
      </c>
      <c r="B37" s="251" t="n">
        <f aca="false">'Tasks Tracker'!J40</f>
        <v>0</v>
      </c>
    </row>
    <row r="38" customFormat="false" ht="15" hidden="false" customHeight="true" outlineLevel="0" collapsed="false">
      <c r="A38" s="251" t="n">
        <f aca="false">'Tasks Tracker'!J41</f>
        <v>0</v>
      </c>
      <c r="B38" s="251" t="n">
        <f aca="false">'Tasks Tracker'!J41</f>
        <v>0</v>
      </c>
    </row>
    <row r="39" customFormat="false" ht="15" hidden="false" customHeight="true" outlineLevel="0" collapsed="false">
      <c r="A39" s="251" t="n">
        <f aca="false">'Tasks Tracker'!J42</f>
        <v>0</v>
      </c>
      <c r="B39" s="251" t="n">
        <f aca="false">'Tasks Tracker'!J42</f>
        <v>0</v>
      </c>
    </row>
    <row r="40" customFormat="false" ht="15" hidden="false" customHeight="true" outlineLevel="0" collapsed="false">
      <c r="A40" s="251" t="n">
        <f aca="false">'Tasks Tracker'!J43</f>
        <v>0</v>
      </c>
      <c r="B40" s="251" t="n">
        <f aca="false">'Tasks Tracker'!J43</f>
        <v>0</v>
      </c>
    </row>
    <row r="41" customFormat="false" ht="15" hidden="false" customHeight="true" outlineLevel="0" collapsed="false">
      <c r="A41" s="251" t="n">
        <f aca="false">'Tasks Tracker'!J44</f>
        <v>0</v>
      </c>
      <c r="B41" s="251" t="n">
        <f aca="false">'Tasks Tracker'!J44</f>
        <v>0</v>
      </c>
    </row>
    <row r="42" customFormat="false" ht="15" hidden="false" customHeight="true" outlineLevel="0" collapsed="false">
      <c r="A42" s="251" t="n">
        <f aca="false">'Tasks Tracker'!J45</f>
        <v>0</v>
      </c>
      <c r="B42" s="251" t="n">
        <f aca="false">'Tasks Tracker'!J45</f>
        <v>0</v>
      </c>
    </row>
    <row r="43" customFormat="false" ht="15" hidden="false" customHeight="true" outlineLevel="0" collapsed="false">
      <c r="A43" s="251" t="n">
        <f aca="false">'Tasks Tracker'!J46</f>
        <v>0</v>
      </c>
      <c r="B43" s="251" t="n">
        <f aca="false">'Tasks Tracker'!J46</f>
        <v>0</v>
      </c>
    </row>
    <row r="44" customFormat="false" ht="15" hidden="false" customHeight="true" outlineLevel="0" collapsed="false">
      <c r="A44" s="251" t="n">
        <f aca="false">'Tasks Tracker'!J47</f>
        <v>0</v>
      </c>
      <c r="B44" s="251" t="n">
        <f aca="false">'Tasks Tracker'!J47</f>
        <v>0</v>
      </c>
    </row>
    <row r="45" customFormat="false" ht="15" hidden="false" customHeight="true" outlineLevel="0" collapsed="false">
      <c r="A45" s="251" t="n">
        <f aca="false">'Tasks Tracker'!J48</f>
        <v>0</v>
      </c>
      <c r="B45" s="251" t="n">
        <f aca="false">'Tasks Tracker'!J48</f>
        <v>0</v>
      </c>
    </row>
    <row r="46" customFormat="false" ht="15" hidden="false" customHeight="true" outlineLevel="0" collapsed="false">
      <c r="A46" s="251" t="n">
        <f aca="false">'Tasks Tracker'!J49</f>
        <v>0</v>
      </c>
      <c r="B46" s="251" t="n">
        <f aca="false">'Tasks Tracker'!J49</f>
        <v>0</v>
      </c>
    </row>
    <row r="47" customFormat="false" ht="15" hidden="false" customHeight="true" outlineLevel="0" collapsed="false">
      <c r="A47" s="251" t="n">
        <f aca="false">'Tasks Tracker'!J50</f>
        <v>0</v>
      </c>
      <c r="B47" s="251" t="n">
        <f aca="false">'Tasks Tracker'!J50</f>
        <v>0</v>
      </c>
    </row>
    <row r="48" customFormat="false" ht="15" hidden="false" customHeight="true" outlineLevel="0" collapsed="false">
      <c r="A48" s="251" t="n">
        <f aca="false">'Tasks Tracker'!J51</f>
        <v>0</v>
      </c>
      <c r="B48" s="251" t="n">
        <f aca="false">'Tasks Tracker'!J51</f>
        <v>0</v>
      </c>
    </row>
    <row r="49" customFormat="false" ht="15" hidden="false" customHeight="true" outlineLevel="0" collapsed="false">
      <c r="A49" s="251" t="n">
        <f aca="false">'Tasks Tracker'!J52</f>
        <v>0</v>
      </c>
      <c r="B49" s="251" t="n">
        <f aca="false">'Tasks Tracker'!J52</f>
        <v>0</v>
      </c>
    </row>
    <row r="50" customFormat="false" ht="15" hidden="false" customHeight="true" outlineLevel="0" collapsed="false">
      <c r="A50" s="251" t="n">
        <f aca="false">'Tasks Tracker'!J53</f>
        <v>0</v>
      </c>
      <c r="B50" s="251" t="n">
        <f aca="false">'Tasks Tracker'!J53</f>
        <v>0</v>
      </c>
    </row>
    <row r="51" customFormat="false" ht="15" hidden="false" customHeight="true" outlineLevel="0" collapsed="false">
      <c r="A51" s="251" t="n">
        <f aca="false">'Tasks Tracker'!J54</f>
        <v>0</v>
      </c>
      <c r="B51" s="251" t="n">
        <f aca="false">'Tasks Tracker'!J54</f>
        <v>0</v>
      </c>
    </row>
    <row r="52" customFormat="false" ht="15" hidden="false" customHeight="true" outlineLevel="0" collapsed="false">
      <c r="A52" s="251" t="n">
        <f aca="false">'Tasks Tracker'!J55</f>
        <v>0</v>
      </c>
      <c r="B52" s="251" t="n">
        <f aca="false">'Tasks Tracker'!J55</f>
        <v>0</v>
      </c>
    </row>
    <row r="53" customFormat="false" ht="15" hidden="false" customHeight="true" outlineLevel="0" collapsed="false">
      <c r="A53" s="251" t="n">
        <f aca="false">'Tasks Tracker'!J56</f>
        <v>0</v>
      </c>
      <c r="B53" s="251" t="n">
        <f aca="false">'Tasks Tracker'!J56</f>
        <v>0</v>
      </c>
    </row>
    <row r="54" customFormat="false" ht="15" hidden="false" customHeight="true" outlineLevel="0" collapsed="false">
      <c r="A54" s="251" t="n">
        <f aca="false">'Tasks Tracker'!J57</f>
        <v>0</v>
      </c>
      <c r="B54" s="251" t="n">
        <f aca="false">'Tasks Tracker'!J57</f>
        <v>0</v>
      </c>
    </row>
    <row r="55" customFormat="false" ht="15" hidden="false" customHeight="true" outlineLevel="0" collapsed="false">
      <c r="A55" s="251" t="n">
        <f aca="false">'Tasks Tracker'!J58</f>
        <v>0</v>
      </c>
      <c r="B55" s="251" t="n">
        <f aca="false">'Tasks Tracker'!J58</f>
        <v>0</v>
      </c>
    </row>
    <row r="56" customFormat="false" ht="15" hidden="false" customHeight="true" outlineLevel="0" collapsed="false">
      <c r="A56" s="251" t="n">
        <f aca="false">'Tasks Tracker'!J59</f>
        <v>0</v>
      </c>
      <c r="B56" s="251" t="n">
        <f aca="false">'Tasks Tracker'!J59</f>
        <v>0</v>
      </c>
    </row>
    <row r="57" customFormat="false" ht="15" hidden="false" customHeight="true" outlineLevel="0" collapsed="false">
      <c r="A57" s="251" t="n">
        <f aca="false">'Tasks Tracker'!J60</f>
        <v>0</v>
      </c>
      <c r="B57" s="251" t="n">
        <f aca="false">'Tasks Tracker'!J60</f>
        <v>0</v>
      </c>
    </row>
    <row r="58" customFormat="false" ht="15" hidden="false" customHeight="true" outlineLevel="0" collapsed="false">
      <c r="A58" s="251" t="n">
        <f aca="false">'Tasks Tracker'!J61</f>
        <v>0</v>
      </c>
      <c r="B58" s="251" t="n">
        <f aca="false">'Tasks Tracker'!J61</f>
        <v>0</v>
      </c>
    </row>
    <row r="59" customFormat="false" ht="15" hidden="false" customHeight="true" outlineLevel="0" collapsed="false">
      <c r="A59" s="251" t="n">
        <f aca="false">'Tasks Tracker'!J62</f>
        <v>0</v>
      </c>
      <c r="B59" s="251" t="n">
        <f aca="false">'Tasks Tracker'!J62</f>
        <v>0</v>
      </c>
    </row>
    <row r="60" customFormat="false" ht="15" hidden="false" customHeight="true" outlineLevel="0" collapsed="false">
      <c r="A60" s="251" t="n">
        <f aca="false">'Tasks Tracker'!J63</f>
        <v>0</v>
      </c>
      <c r="B60" s="251" t="n">
        <f aca="false">'Tasks Tracker'!J63</f>
        <v>0</v>
      </c>
    </row>
    <row r="61" customFormat="false" ht="15" hidden="false" customHeight="true" outlineLevel="0" collapsed="false">
      <c r="A61" s="251" t="n">
        <f aca="false">'Tasks Tracker'!J64</f>
        <v>0</v>
      </c>
      <c r="B61" s="251" t="n">
        <f aca="false">'Tasks Tracker'!J64</f>
        <v>0</v>
      </c>
    </row>
    <row r="62" customFormat="false" ht="15" hidden="false" customHeight="true" outlineLevel="0" collapsed="false">
      <c r="A62" s="251" t="n">
        <f aca="false">'Tasks Tracker'!J65</f>
        <v>0</v>
      </c>
      <c r="B62" s="251" t="n">
        <f aca="false">'Tasks Tracker'!J65</f>
        <v>0</v>
      </c>
    </row>
    <row r="63" customFormat="false" ht="15" hidden="false" customHeight="true" outlineLevel="0" collapsed="false">
      <c r="A63" s="251" t="n">
        <f aca="false">'Tasks Tracker'!J66</f>
        <v>0</v>
      </c>
      <c r="B63" s="251" t="n">
        <f aca="false">'Tasks Tracker'!J66</f>
        <v>0</v>
      </c>
    </row>
    <row r="64" customFormat="false" ht="15" hidden="false" customHeight="true" outlineLevel="0" collapsed="false">
      <c r="A64" s="251" t="n">
        <f aca="false">'Tasks Tracker'!J67</f>
        <v>0</v>
      </c>
      <c r="B64" s="251" t="n">
        <f aca="false">'Tasks Tracker'!J67</f>
        <v>0</v>
      </c>
    </row>
    <row r="65" customFormat="false" ht="15" hidden="false" customHeight="true" outlineLevel="0" collapsed="false">
      <c r="A65" s="251" t="n">
        <f aca="false">'Tasks Tracker'!J68</f>
        <v>0</v>
      </c>
      <c r="B65" s="251" t="n">
        <f aca="false">'Tasks Tracker'!J68</f>
        <v>0</v>
      </c>
    </row>
    <row r="66" customFormat="false" ht="15" hidden="false" customHeight="true" outlineLevel="0" collapsed="false">
      <c r="A66" s="251" t="n">
        <f aca="false">'Tasks Tracker'!J69</f>
        <v>0</v>
      </c>
      <c r="B66" s="251" t="n">
        <f aca="false">'Tasks Tracker'!J69</f>
        <v>0</v>
      </c>
    </row>
    <row r="67" customFormat="false" ht="15" hidden="false" customHeight="true" outlineLevel="0" collapsed="false">
      <c r="A67" s="251" t="n">
        <f aca="false">'Tasks Tracker'!J70</f>
        <v>0</v>
      </c>
      <c r="B67" s="251" t="n">
        <f aca="false">'Tasks Tracker'!J70</f>
        <v>0</v>
      </c>
    </row>
    <row r="68" customFormat="false" ht="15" hidden="false" customHeight="true" outlineLevel="0" collapsed="false">
      <c r="A68" s="251" t="n">
        <f aca="false">'Tasks Tracker'!J71</f>
        <v>0</v>
      </c>
      <c r="B68" s="251" t="n">
        <f aca="false">'Tasks Tracker'!J71</f>
        <v>0</v>
      </c>
    </row>
    <row r="69" customFormat="false" ht="15" hidden="false" customHeight="true" outlineLevel="0" collapsed="false">
      <c r="A69" s="251" t="n">
        <f aca="false">'Tasks Tracker'!J72</f>
        <v>0</v>
      </c>
      <c r="B69" s="251" t="n">
        <f aca="false">'Tasks Tracker'!J72</f>
        <v>0</v>
      </c>
    </row>
    <row r="70" customFormat="false" ht="15" hidden="false" customHeight="true" outlineLevel="0" collapsed="false">
      <c r="A70" s="251" t="n">
        <f aca="false">'Tasks Tracker'!J73</f>
        <v>0</v>
      </c>
      <c r="B70" s="251" t="n">
        <f aca="false">'Tasks Tracker'!J73</f>
        <v>0</v>
      </c>
    </row>
    <row r="71" customFormat="false" ht="15" hidden="false" customHeight="true" outlineLevel="0" collapsed="false">
      <c r="A71" s="251" t="n">
        <f aca="false">'Tasks Tracker'!J74</f>
        <v>0</v>
      </c>
      <c r="B71" s="251" t="n">
        <f aca="false">'Tasks Tracker'!J74</f>
        <v>0</v>
      </c>
    </row>
    <row r="72" customFormat="false" ht="15" hidden="false" customHeight="true" outlineLevel="0" collapsed="false">
      <c r="A72" s="251" t="n">
        <f aca="false">'Tasks Tracker'!J75</f>
        <v>0</v>
      </c>
      <c r="B72" s="251" t="n">
        <f aca="false">'Tasks Tracker'!J75</f>
        <v>0</v>
      </c>
    </row>
    <row r="73" customFormat="false" ht="15" hidden="false" customHeight="true" outlineLevel="0" collapsed="false">
      <c r="A73" s="251" t="n">
        <f aca="false">'Tasks Tracker'!J76</f>
        <v>0</v>
      </c>
      <c r="B73" s="251" t="n">
        <f aca="false">'Tasks Tracker'!J76</f>
        <v>0</v>
      </c>
    </row>
    <row r="74" customFormat="false" ht="15" hidden="false" customHeight="true" outlineLevel="0" collapsed="false">
      <c r="A74" s="251" t="n">
        <f aca="false">'Tasks Tracker'!J77</f>
        <v>0</v>
      </c>
      <c r="B74" s="251" t="n">
        <f aca="false">'Tasks Tracker'!J77</f>
        <v>0</v>
      </c>
    </row>
    <row r="75" customFormat="false" ht="15" hidden="false" customHeight="true" outlineLevel="0" collapsed="false">
      <c r="A75" s="251" t="n">
        <f aca="false">'Tasks Tracker'!J78</f>
        <v>0</v>
      </c>
      <c r="B75" s="251" t="n">
        <f aca="false">'Tasks Tracker'!J78</f>
        <v>0</v>
      </c>
    </row>
    <row r="76" customFormat="false" ht="15" hidden="false" customHeight="true" outlineLevel="0" collapsed="false">
      <c r="A76" s="251" t="n">
        <f aca="false">'Tasks Tracker'!J79</f>
        <v>0</v>
      </c>
      <c r="B76" s="251" t="n">
        <f aca="false">'Tasks Tracker'!J79</f>
        <v>0</v>
      </c>
    </row>
    <row r="77" customFormat="false" ht="15" hidden="false" customHeight="true" outlineLevel="0" collapsed="false">
      <c r="A77" s="251" t="n">
        <f aca="false">'Tasks Tracker'!J80</f>
        <v>0</v>
      </c>
      <c r="B77" s="251" t="n">
        <f aca="false">'Tasks Tracker'!J80</f>
        <v>0</v>
      </c>
    </row>
    <row r="78" customFormat="false" ht="15" hidden="false" customHeight="true" outlineLevel="0" collapsed="false">
      <c r="A78" s="251" t="n">
        <f aca="false">'Tasks Tracker'!J81</f>
        <v>0</v>
      </c>
      <c r="B78" s="251" t="n">
        <f aca="false">'Tasks Tracker'!J81</f>
        <v>0</v>
      </c>
    </row>
    <row r="79" customFormat="false" ht="15" hidden="false" customHeight="true" outlineLevel="0" collapsed="false">
      <c r="A79" s="251" t="n">
        <f aca="false">'Tasks Tracker'!J82</f>
        <v>0</v>
      </c>
      <c r="B79" s="251" t="n">
        <f aca="false">'Tasks Tracker'!J82</f>
        <v>0</v>
      </c>
    </row>
    <row r="80" customFormat="false" ht="15" hidden="false" customHeight="true" outlineLevel="0" collapsed="false">
      <c r="A80" s="251" t="n">
        <f aca="false">'Tasks Tracker'!J83</f>
        <v>0</v>
      </c>
      <c r="B80" s="251" t="n">
        <f aca="false">'Tasks Tracker'!J83</f>
        <v>0</v>
      </c>
    </row>
    <row r="81" customFormat="false" ht="15" hidden="false" customHeight="true" outlineLevel="0" collapsed="false">
      <c r="A81" s="251" t="n">
        <f aca="false">'Tasks Tracker'!J84</f>
        <v>0</v>
      </c>
      <c r="B81" s="251" t="n">
        <f aca="false">'Tasks Tracker'!J84</f>
        <v>0</v>
      </c>
    </row>
    <row r="82" customFormat="false" ht="15" hidden="false" customHeight="true" outlineLevel="0" collapsed="false">
      <c r="A82" s="251" t="n">
        <f aca="false">'Tasks Tracker'!J85</f>
        <v>0</v>
      </c>
      <c r="B82" s="251" t="n">
        <f aca="false">'Tasks Tracker'!J85</f>
        <v>0</v>
      </c>
    </row>
    <row r="83" customFormat="false" ht="15" hidden="false" customHeight="true" outlineLevel="0" collapsed="false">
      <c r="A83" s="251" t="n">
        <f aca="false">'Tasks Tracker'!J86</f>
        <v>0</v>
      </c>
      <c r="B83" s="251" t="n">
        <f aca="false">'Tasks Tracker'!J86</f>
        <v>0</v>
      </c>
    </row>
    <row r="84" customFormat="false" ht="15" hidden="false" customHeight="true" outlineLevel="0" collapsed="false">
      <c r="A84" s="251" t="n">
        <f aca="false">'Tasks Tracker'!J87</f>
        <v>0</v>
      </c>
      <c r="B84" s="251" t="n">
        <f aca="false">'Tasks Tracker'!J87</f>
        <v>0</v>
      </c>
    </row>
    <row r="85" customFormat="false" ht="15" hidden="false" customHeight="true" outlineLevel="0" collapsed="false">
      <c r="A85" s="251" t="n">
        <f aca="false">'Tasks Tracker'!J88</f>
        <v>0</v>
      </c>
      <c r="B85" s="251" t="n">
        <f aca="false">'Tasks Tracker'!J88</f>
        <v>0</v>
      </c>
    </row>
    <row r="86" customFormat="false" ht="15" hidden="false" customHeight="true" outlineLevel="0" collapsed="false">
      <c r="A86" s="251" t="n">
        <f aca="false">'Tasks Tracker'!J89</f>
        <v>0</v>
      </c>
      <c r="B86" s="251" t="n">
        <f aca="false">'Tasks Tracker'!J89</f>
        <v>0</v>
      </c>
    </row>
    <row r="87" customFormat="false" ht="15" hidden="false" customHeight="true" outlineLevel="0" collapsed="false">
      <c r="A87" s="251" t="n">
        <f aca="false">'Tasks Tracker'!J90</f>
        <v>0</v>
      </c>
      <c r="B87" s="251" t="n">
        <f aca="false">'Tasks Tracker'!J90</f>
        <v>0</v>
      </c>
    </row>
    <row r="88" customFormat="false" ht="15" hidden="false" customHeight="true" outlineLevel="0" collapsed="false">
      <c r="A88" s="251" t="n">
        <f aca="false">'Tasks Tracker'!J91</f>
        <v>0</v>
      </c>
      <c r="B88" s="251" t="n">
        <f aca="false">'Tasks Tracker'!J91</f>
        <v>0</v>
      </c>
    </row>
    <row r="89" customFormat="false" ht="15" hidden="false" customHeight="true" outlineLevel="0" collapsed="false">
      <c r="A89" s="251" t="n">
        <f aca="false">'Tasks Tracker'!J92</f>
        <v>0</v>
      </c>
      <c r="B89" s="251" t="n">
        <f aca="false">'Tasks Tracker'!J92</f>
        <v>0</v>
      </c>
    </row>
    <row r="90" customFormat="false" ht="15" hidden="false" customHeight="true" outlineLevel="0" collapsed="false">
      <c r="A90" s="251" t="n">
        <f aca="false">'Tasks Tracker'!J93</f>
        <v>0</v>
      </c>
      <c r="B90" s="251" t="n">
        <f aca="false">'Tasks Tracker'!J93</f>
        <v>0</v>
      </c>
    </row>
    <row r="91" customFormat="false" ht="15" hidden="false" customHeight="true" outlineLevel="0" collapsed="false">
      <c r="A91" s="251" t="n">
        <f aca="false">'Tasks Tracker'!J94</f>
        <v>0</v>
      </c>
      <c r="B91" s="251" t="n">
        <f aca="false">'Tasks Tracker'!J94</f>
        <v>0</v>
      </c>
    </row>
    <row r="92" customFormat="false" ht="15" hidden="false" customHeight="true" outlineLevel="0" collapsed="false">
      <c r="A92" s="251" t="n">
        <f aca="false">'Tasks Tracker'!J95</f>
        <v>0</v>
      </c>
      <c r="B92" s="251" t="n">
        <f aca="false">'Tasks Tracker'!J95</f>
        <v>0</v>
      </c>
    </row>
    <row r="93" customFormat="false" ht="15" hidden="false" customHeight="true" outlineLevel="0" collapsed="false">
      <c r="A93" s="251" t="n">
        <f aca="false">'Tasks Tracker'!J96</f>
        <v>0</v>
      </c>
      <c r="B93" s="251" t="n">
        <f aca="false">'Tasks Tracker'!J96</f>
        <v>0</v>
      </c>
    </row>
    <row r="94" customFormat="false" ht="15" hidden="false" customHeight="true" outlineLevel="0" collapsed="false">
      <c r="A94" s="251" t="n">
        <f aca="false">'Tasks Tracker'!J97</f>
        <v>0</v>
      </c>
      <c r="B94" s="251" t="n">
        <f aca="false">'Tasks Tracker'!J97</f>
        <v>0</v>
      </c>
    </row>
    <row r="95" customFormat="false" ht="15" hidden="false" customHeight="true" outlineLevel="0" collapsed="false">
      <c r="A95" s="251" t="n">
        <f aca="false">'Tasks Tracker'!J98</f>
        <v>0</v>
      </c>
      <c r="B95" s="251" t="n">
        <f aca="false">'Tasks Tracker'!J98</f>
        <v>0</v>
      </c>
    </row>
    <row r="96" customFormat="false" ht="15" hidden="false" customHeight="true" outlineLevel="0" collapsed="false">
      <c r="A96" s="251" t="n">
        <f aca="false">'Tasks Tracker'!J99</f>
        <v>0</v>
      </c>
      <c r="B96" s="251" t="n">
        <f aca="false">'Tasks Tracker'!J99</f>
        <v>0</v>
      </c>
    </row>
    <row r="97" customFormat="false" ht="15" hidden="false" customHeight="true" outlineLevel="0" collapsed="false">
      <c r="A97" s="251" t="n">
        <f aca="false">'Tasks Tracker'!J100</f>
        <v>0</v>
      </c>
      <c r="B97" s="251" t="n">
        <f aca="false">'Tasks Tracker'!J100</f>
        <v>0</v>
      </c>
    </row>
    <row r="98" customFormat="false" ht="15" hidden="false" customHeight="true" outlineLevel="0" collapsed="false">
      <c r="A98" s="251" t="n">
        <f aca="false">'Tasks Tracker'!J101</f>
        <v>0</v>
      </c>
      <c r="B98" s="251" t="n">
        <f aca="false">'Tasks Tracker'!J101</f>
        <v>0</v>
      </c>
    </row>
    <row r="99" customFormat="false" ht="15" hidden="false" customHeight="true" outlineLevel="0" collapsed="false">
      <c r="A99" s="251" t="n">
        <f aca="false">'Tasks Tracker'!J102</f>
        <v>0</v>
      </c>
      <c r="B99" s="251" t="n">
        <f aca="false">'Tasks Tracker'!J102</f>
        <v>0</v>
      </c>
    </row>
    <row r="100" customFormat="false" ht="15" hidden="false" customHeight="true" outlineLevel="0" collapsed="false">
      <c r="A100" s="251" t="n">
        <f aca="false">'Tasks Tracker'!J103</f>
        <v>0</v>
      </c>
      <c r="B100" s="251" t="n">
        <f aca="false">'Tasks Tracker'!J103</f>
        <v>0</v>
      </c>
    </row>
    <row r="101" customFormat="false" ht="15" hidden="false" customHeight="true" outlineLevel="0" collapsed="false">
      <c r="A101" s="251" t="n">
        <f aca="false">'Tasks Tracker'!J104</f>
        <v>0</v>
      </c>
      <c r="B101" s="251" t="n">
        <f aca="false">'Tasks Tracker'!J104</f>
        <v>0</v>
      </c>
    </row>
    <row r="102" customFormat="false" ht="15" hidden="false" customHeight="true" outlineLevel="0" collapsed="false">
      <c r="A102" s="253" t="n">
        <f aca="false">'Tasks Tracker'!J105</f>
        <v>0</v>
      </c>
      <c r="B102" s="253" t="n">
        <f aca="false">'Tasks Tracker'!J105</f>
        <v>0</v>
      </c>
    </row>
  </sheetData>
  <autoFilter ref="A1:B1">
    <sortState ref="A2:B1">
      <sortCondition ref="A2:A1" customList=""/>
    </sortState>
  </autoFilter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C10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I24" activeCellId="0" sqref="I24"/>
    </sheetView>
  </sheetViews>
  <sheetFormatPr defaultColWidth="8.6796875" defaultRowHeight="15" zeroHeight="false" outlineLevelRow="0" outlineLevelCol="0"/>
  <cols>
    <col collapsed="false" customWidth="true" hidden="false" outlineLevel="0" max="3" min="3" style="3" width="19.52"/>
  </cols>
  <sheetData>
    <row r="2" customFormat="false" ht="15" hidden="false" customHeight="true" outlineLevel="0" collapsed="false">
      <c r="A2" s="3" t="n">
        <v>1</v>
      </c>
      <c r="B2" s="3" t="s">
        <v>5</v>
      </c>
    </row>
    <row r="3" customFormat="false" ht="15" hidden="false" customHeight="true" outlineLevel="0" collapsed="false">
      <c r="A3" s="3" t="n">
        <v>2</v>
      </c>
      <c r="B3" s="3" t="s">
        <v>6</v>
      </c>
    </row>
    <row r="4" customFormat="false" ht="15" hidden="false" customHeight="true" outlineLevel="0" collapsed="false">
      <c r="A4" s="3" t="n">
        <v>3</v>
      </c>
      <c r="B4" s="3" t="s">
        <v>8</v>
      </c>
    </row>
    <row r="5" customFormat="false" ht="15" hidden="false" customHeight="true" outlineLevel="0" collapsed="false">
      <c r="A5" s="3" t="n">
        <v>4</v>
      </c>
      <c r="B5" s="3" t="s">
        <v>9</v>
      </c>
    </row>
    <row r="8" customFormat="false" ht="15" hidden="false" customHeight="true" outlineLevel="0" collapsed="false">
      <c r="A8" s="3" t="n">
        <v>1</v>
      </c>
      <c r="B8" s="3" t="n">
        <v>3</v>
      </c>
      <c r="C8" s="3" t="str">
        <f aca="false">'Tasks Tracker'!D5</f>
        <v>Data Analyst </v>
      </c>
    </row>
    <row r="9" customFormat="false" ht="15" hidden="false" customHeight="true" outlineLevel="0" collapsed="false">
      <c r="A9" s="3" t="n">
        <v>2</v>
      </c>
      <c r="B9" s="3" t="n">
        <v>2</v>
      </c>
      <c r="C9" s="3" t="str">
        <f aca="false">'Tasks Tracker'!D6</f>
        <v>Performance Analyst </v>
      </c>
    </row>
    <row r="10" customFormat="false" ht="15" hidden="false" customHeight="true" outlineLevel="0" collapsed="false">
      <c r="A10" s="3" t="n">
        <v>3</v>
      </c>
      <c r="B10" s="3" t="n">
        <v>3</v>
      </c>
      <c r="C10" s="3" t="str">
        <f aca="false">'Tasks Tracker'!D7</f>
        <v>Data Analyst </v>
      </c>
    </row>
    <row r="11" customFormat="false" ht="15" hidden="false" customHeight="true" outlineLevel="0" collapsed="false">
      <c r="A11" s="3" t="n">
        <v>4</v>
      </c>
      <c r="B11" s="3" t="n">
        <v>3</v>
      </c>
      <c r="C11" s="3" t="str">
        <f aca="false">'Tasks Tracker'!D8</f>
        <v>Performance Analyst </v>
      </c>
    </row>
    <row r="12" customFormat="false" ht="15" hidden="false" customHeight="true" outlineLevel="0" collapsed="false">
      <c r="A12" s="3" t="n">
        <v>5</v>
      </c>
      <c r="B12" s="3" t="n">
        <v>4</v>
      </c>
      <c r="C12" s="3" t="str">
        <f aca="false">'Tasks Tracker'!D9</f>
        <v>Performance Analyst </v>
      </c>
    </row>
    <row r="13" customFormat="false" ht="15" hidden="false" customHeight="true" outlineLevel="0" collapsed="false">
      <c r="A13" s="3" t="n">
        <v>6</v>
      </c>
      <c r="B13" s="3" t="n">
        <v>3</v>
      </c>
      <c r="C13" s="3" t="str">
        <f aca="false">'Tasks Tracker'!D10</f>
        <v>Performance Analyst </v>
      </c>
    </row>
    <row r="14" customFormat="false" ht="15" hidden="false" customHeight="true" outlineLevel="0" collapsed="false">
      <c r="A14" s="3" t="n">
        <v>7</v>
      </c>
      <c r="B14" s="3" t="n">
        <v>2</v>
      </c>
      <c r="C14" s="3" t="str">
        <f aca="false">'Tasks Tracker'!D11</f>
        <v>Performance Analyst </v>
      </c>
    </row>
    <row r="15" customFormat="false" ht="15" hidden="false" customHeight="true" outlineLevel="0" collapsed="false">
      <c r="A15" s="3" t="n">
        <v>8</v>
      </c>
      <c r="B15" s="3" t="n">
        <v>3</v>
      </c>
      <c r="C15" s="3" t="str">
        <f aca="false">'Tasks Tracker'!D12</f>
        <v>Performance Analyst </v>
      </c>
    </row>
    <row r="16" customFormat="false" ht="15" hidden="false" customHeight="true" outlineLevel="0" collapsed="false">
      <c r="A16" s="3" t="n">
        <v>9</v>
      </c>
      <c r="B16" s="3" t="n">
        <v>3</v>
      </c>
      <c r="C16" s="3" t="str">
        <f aca="false">'Tasks Tracker'!D13</f>
        <v>Data Analyst </v>
      </c>
    </row>
    <row r="17" customFormat="false" ht="15" hidden="false" customHeight="true" outlineLevel="0" collapsed="false">
      <c r="A17" s="3" t="n">
        <v>10</v>
      </c>
      <c r="B17" s="3" t="n">
        <v>3</v>
      </c>
      <c r="C17" s="3" t="str">
        <f aca="false">'Tasks Tracker'!D14</f>
        <v>Performance Analyst </v>
      </c>
    </row>
    <row r="18" customFormat="false" ht="15" hidden="false" customHeight="true" outlineLevel="0" collapsed="false">
      <c r="A18" s="3" t="n">
        <v>11</v>
      </c>
      <c r="B18" s="3" t="n">
        <v>4</v>
      </c>
      <c r="C18" s="3" t="str">
        <f aca="false">'Tasks Tracker'!D15</f>
        <v>Performance Analyst </v>
      </c>
    </row>
    <row r="19" customFormat="false" ht="15" hidden="false" customHeight="true" outlineLevel="0" collapsed="false">
      <c r="A19" s="3" t="n">
        <v>12</v>
      </c>
      <c r="B19" s="3" t="n">
        <v>4</v>
      </c>
      <c r="C19" s="3" t="str">
        <f aca="false">'Tasks Tracker'!D16</f>
        <v>Performance Analyst </v>
      </c>
    </row>
    <row r="20" customFormat="false" ht="15" hidden="false" customHeight="true" outlineLevel="0" collapsed="false">
      <c r="A20" s="3" t="n">
        <v>13</v>
      </c>
      <c r="B20" s="3" t="n">
        <v>1</v>
      </c>
      <c r="C20" s="3" t="str">
        <f aca="false">'Tasks Tracker'!D17</f>
        <v>Performance Analyst </v>
      </c>
    </row>
    <row r="21" customFormat="false" ht="15" hidden="false" customHeight="true" outlineLevel="0" collapsed="false">
      <c r="A21" s="3" t="n">
        <v>14</v>
      </c>
      <c r="B21" s="3" t="n">
        <v>2</v>
      </c>
      <c r="C21" s="3" t="str">
        <f aca="false">'Tasks Tracker'!D18</f>
        <v>Performance Analyst </v>
      </c>
    </row>
    <row r="22" customFormat="false" ht="15" hidden="false" customHeight="true" outlineLevel="0" collapsed="false">
      <c r="A22" s="3" t="n">
        <v>15</v>
      </c>
      <c r="B22" s="3" t="n">
        <v>1</v>
      </c>
      <c r="C22" s="3" t="str">
        <f aca="false">'Tasks Tracker'!D19</f>
        <v>Performance Analyst </v>
      </c>
    </row>
    <row r="23" customFormat="false" ht="15" hidden="false" customHeight="true" outlineLevel="0" collapsed="false">
      <c r="A23" s="3" t="n">
        <v>16</v>
      </c>
      <c r="B23" s="3" t="n">
        <v>4</v>
      </c>
      <c r="C23" s="3" t="str">
        <f aca="false">'Tasks Tracker'!D20</f>
        <v>Data Analyst </v>
      </c>
    </row>
    <row r="24" customFormat="false" ht="15" hidden="false" customHeight="true" outlineLevel="0" collapsed="false">
      <c r="A24" s="3" t="n">
        <v>17</v>
      </c>
      <c r="B24" s="3" t="n">
        <v>4</v>
      </c>
      <c r="C24" s="3" t="n">
        <f aca="false">'Tasks Tracker'!D21</f>
        <v>0</v>
      </c>
    </row>
    <row r="25" customFormat="false" ht="15" hidden="false" customHeight="true" outlineLevel="0" collapsed="false">
      <c r="A25" s="3" t="n">
        <v>18</v>
      </c>
      <c r="B25" s="3" t="n">
        <v>4</v>
      </c>
      <c r="C25" s="3" t="n">
        <f aca="false">'Tasks Tracker'!D22</f>
        <v>0</v>
      </c>
    </row>
    <row r="26" customFormat="false" ht="15" hidden="false" customHeight="true" outlineLevel="0" collapsed="false">
      <c r="A26" s="3" t="n">
        <v>19</v>
      </c>
      <c r="B26" s="3" t="n">
        <v>4</v>
      </c>
      <c r="C26" s="3" t="n">
        <f aca="false">'Tasks Tracker'!D23</f>
        <v>0</v>
      </c>
    </row>
    <row r="27" customFormat="false" ht="15" hidden="false" customHeight="true" outlineLevel="0" collapsed="false">
      <c r="A27" s="3" t="n">
        <v>20</v>
      </c>
      <c r="B27" s="3" t="n">
        <v>2</v>
      </c>
      <c r="C27" s="3" t="n">
        <f aca="false">'Tasks Tracker'!D24</f>
        <v>0</v>
      </c>
    </row>
    <row r="28" customFormat="false" ht="15" hidden="false" customHeight="true" outlineLevel="0" collapsed="false">
      <c r="A28" s="3" t="n">
        <v>21</v>
      </c>
      <c r="B28" s="3" t="n">
        <v>1</v>
      </c>
      <c r="C28" s="3" t="n">
        <f aca="false">'Tasks Tracker'!D25</f>
        <v>0</v>
      </c>
    </row>
    <row r="29" customFormat="false" ht="15" hidden="false" customHeight="true" outlineLevel="0" collapsed="false">
      <c r="A29" s="3" t="n">
        <v>22</v>
      </c>
      <c r="B29" s="3" t="n">
        <v>4</v>
      </c>
      <c r="C29" s="3" t="n">
        <f aca="false">'Tasks Tracker'!D26</f>
        <v>0</v>
      </c>
    </row>
    <row r="30" customFormat="false" ht="15" hidden="false" customHeight="true" outlineLevel="0" collapsed="false">
      <c r="A30" s="3" t="n">
        <v>23</v>
      </c>
      <c r="B30" s="3" t="n">
        <v>3</v>
      </c>
      <c r="C30" s="3" t="n">
        <f aca="false">'Tasks Tracker'!D27</f>
        <v>0</v>
      </c>
    </row>
    <row r="31" customFormat="false" ht="15" hidden="false" customHeight="true" outlineLevel="0" collapsed="false">
      <c r="A31" s="3" t="n">
        <v>24</v>
      </c>
      <c r="B31" s="3" t="n">
        <v>1</v>
      </c>
      <c r="C31" s="3" t="n">
        <f aca="false">'Tasks Tracker'!D28</f>
        <v>0</v>
      </c>
    </row>
    <row r="32" customFormat="false" ht="15" hidden="false" customHeight="true" outlineLevel="0" collapsed="false">
      <c r="A32" s="3" t="n">
        <v>25</v>
      </c>
      <c r="B32" s="3" t="n">
        <v>1</v>
      </c>
      <c r="C32" s="3" t="n">
        <f aca="false">'Tasks Tracker'!D29</f>
        <v>0</v>
      </c>
    </row>
    <row r="33" customFormat="false" ht="15" hidden="false" customHeight="true" outlineLevel="0" collapsed="false">
      <c r="A33" s="3" t="n">
        <v>26</v>
      </c>
      <c r="B33" s="3" t="n">
        <v>4</v>
      </c>
      <c r="C33" s="3" t="n">
        <f aca="false">'Tasks Tracker'!D30</f>
        <v>0</v>
      </c>
    </row>
    <row r="34" customFormat="false" ht="15" hidden="false" customHeight="true" outlineLevel="0" collapsed="false">
      <c r="A34" s="3" t="n">
        <v>27</v>
      </c>
      <c r="B34" s="3" t="n">
        <v>3</v>
      </c>
      <c r="C34" s="3" t="n">
        <f aca="false">'Tasks Tracker'!D31</f>
        <v>0</v>
      </c>
    </row>
    <row r="35" customFormat="false" ht="15" hidden="false" customHeight="true" outlineLevel="0" collapsed="false">
      <c r="A35" s="3" t="n">
        <v>28</v>
      </c>
      <c r="B35" s="3" t="n">
        <v>3</v>
      </c>
      <c r="C35" s="3" t="n">
        <f aca="false">'Tasks Tracker'!D32</f>
        <v>0</v>
      </c>
    </row>
    <row r="36" customFormat="false" ht="15" hidden="false" customHeight="true" outlineLevel="0" collapsed="false">
      <c r="A36" s="3" t="n">
        <v>29</v>
      </c>
      <c r="B36" s="3" t="n">
        <v>1</v>
      </c>
      <c r="C36" s="3" t="n">
        <f aca="false">'Tasks Tracker'!D33</f>
        <v>0</v>
      </c>
    </row>
    <row r="37" customFormat="false" ht="15" hidden="false" customHeight="true" outlineLevel="0" collapsed="false">
      <c r="A37" s="3" t="n">
        <v>30</v>
      </c>
      <c r="B37" s="3" t="n">
        <v>1</v>
      </c>
      <c r="C37" s="3" t="n">
        <f aca="false">'Tasks Tracker'!D34</f>
        <v>0</v>
      </c>
    </row>
    <row r="38" customFormat="false" ht="15" hidden="false" customHeight="true" outlineLevel="0" collapsed="false">
      <c r="A38" s="3" t="n">
        <v>31</v>
      </c>
      <c r="B38" s="3" t="n">
        <v>3</v>
      </c>
      <c r="C38" s="3" t="n">
        <f aca="false">'Tasks Tracker'!D35</f>
        <v>0</v>
      </c>
    </row>
    <row r="39" customFormat="false" ht="15" hidden="false" customHeight="true" outlineLevel="0" collapsed="false">
      <c r="A39" s="3" t="n">
        <v>32</v>
      </c>
      <c r="B39" s="3" t="n">
        <v>2</v>
      </c>
      <c r="C39" s="3" t="n">
        <f aca="false">'Tasks Tracker'!D36</f>
        <v>0</v>
      </c>
    </row>
    <row r="40" customFormat="false" ht="15" hidden="false" customHeight="true" outlineLevel="0" collapsed="false">
      <c r="A40" s="3" t="n">
        <v>33</v>
      </c>
      <c r="B40" s="3" t="n">
        <v>1</v>
      </c>
      <c r="C40" s="3" t="n">
        <f aca="false">'Tasks Tracker'!D37</f>
        <v>0</v>
      </c>
    </row>
    <row r="41" customFormat="false" ht="15" hidden="false" customHeight="true" outlineLevel="0" collapsed="false">
      <c r="A41" s="3" t="n">
        <v>34</v>
      </c>
      <c r="B41" s="3" t="n">
        <v>3</v>
      </c>
      <c r="C41" s="3" t="n">
        <f aca="false">'Tasks Tracker'!D38</f>
        <v>0</v>
      </c>
    </row>
    <row r="42" customFormat="false" ht="15" hidden="false" customHeight="true" outlineLevel="0" collapsed="false">
      <c r="A42" s="3" t="n">
        <v>35</v>
      </c>
      <c r="B42" s="3" t="n">
        <v>2</v>
      </c>
      <c r="C42" s="3" t="n">
        <f aca="false">'Tasks Tracker'!D39</f>
        <v>0</v>
      </c>
    </row>
    <row r="43" customFormat="false" ht="15" hidden="false" customHeight="true" outlineLevel="0" collapsed="false">
      <c r="A43" s="3" t="n">
        <v>36</v>
      </c>
      <c r="B43" s="3" t="n">
        <v>4</v>
      </c>
      <c r="C43" s="3" t="n">
        <f aca="false">'Tasks Tracker'!D40</f>
        <v>0</v>
      </c>
    </row>
    <row r="44" customFormat="false" ht="15" hidden="false" customHeight="true" outlineLevel="0" collapsed="false">
      <c r="A44" s="3" t="n">
        <v>37</v>
      </c>
      <c r="B44" s="3" t="n">
        <v>4</v>
      </c>
      <c r="C44" s="3" t="n">
        <f aca="false">'Tasks Tracker'!D41</f>
        <v>0</v>
      </c>
    </row>
    <row r="45" customFormat="false" ht="15" hidden="false" customHeight="true" outlineLevel="0" collapsed="false">
      <c r="A45" s="3" t="n">
        <v>38</v>
      </c>
      <c r="B45" s="3" t="n">
        <v>2</v>
      </c>
      <c r="C45" s="3" t="n">
        <f aca="false">'Tasks Tracker'!D42</f>
        <v>0</v>
      </c>
    </row>
    <row r="46" customFormat="false" ht="15" hidden="false" customHeight="true" outlineLevel="0" collapsed="false">
      <c r="A46" s="3" t="n">
        <v>39</v>
      </c>
      <c r="B46" s="3" t="n">
        <v>1</v>
      </c>
      <c r="C46" s="3" t="n">
        <f aca="false">'Tasks Tracker'!D43</f>
        <v>0</v>
      </c>
    </row>
    <row r="47" customFormat="false" ht="15" hidden="false" customHeight="true" outlineLevel="0" collapsed="false">
      <c r="A47" s="3" t="n">
        <v>40</v>
      </c>
      <c r="B47" s="3" t="n">
        <v>4</v>
      </c>
      <c r="C47" s="3" t="n">
        <f aca="false">'Tasks Tracker'!D44</f>
        <v>0</v>
      </c>
    </row>
    <row r="48" customFormat="false" ht="15" hidden="false" customHeight="true" outlineLevel="0" collapsed="false">
      <c r="A48" s="3" t="n">
        <v>41</v>
      </c>
      <c r="B48" s="3" t="n">
        <v>2</v>
      </c>
      <c r="C48" s="3" t="n">
        <f aca="false">'Tasks Tracker'!D45</f>
        <v>0</v>
      </c>
    </row>
    <row r="49" customFormat="false" ht="15" hidden="false" customHeight="true" outlineLevel="0" collapsed="false">
      <c r="A49" s="3" t="n">
        <v>42</v>
      </c>
      <c r="B49" s="3" t="n">
        <v>2</v>
      </c>
      <c r="C49" s="3" t="n">
        <f aca="false">'Tasks Tracker'!D46</f>
        <v>0</v>
      </c>
    </row>
    <row r="50" customFormat="false" ht="15" hidden="false" customHeight="true" outlineLevel="0" collapsed="false">
      <c r="A50" s="3" t="n">
        <v>43</v>
      </c>
      <c r="B50" s="3" t="n">
        <v>3</v>
      </c>
      <c r="C50" s="3" t="n">
        <f aca="false">'Tasks Tracker'!D47</f>
        <v>0</v>
      </c>
    </row>
    <row r="51" customFormat="false" ht="15" hidden="false" customHeight="true" outlineLevel="0" collapsed="false">
      <c r="A51" s="3" t="n">
        <v>44</v>
      </c>
      <c r="B51" s="3" t="n">
        <v>1</v>
      </c>
      <c r="C51" s="3" t="n">
        <f aca="false">'Tasks Tracker'!D48</f>
        <v>0</v>
      </c>
    </row>
    <row r="52" customFormat="false" ht="15" hidden="false" customHeight="true" outlineLevel="0" collapsed="false">
      <c r="A52" s="3" t="n">
        <v>45</v>
      </c>
      <c r="B52" s="3" t="n">
        <v>4</v>
      </c>
      <c r="C52" s="3" t="n">
        <f aca="false">'Tasks Tracker'!D49</f>
        <v>0</v>
      </c>
    </row>
    <row r="53" customFormat="false" ht="15" hidden="false" customHeight="true" outlineLevel="0" collapsed="false">
      <c r="A53" s="3" t="n">
        <v>46</v>
      </c>
      <c r="B53" s="3" t="n">
        <v>1</v>
      </c>
      <c r="C53" s="3" t="n">
        <f aca="false">'Tasks Tracker'!D50</f>
        <v>0</v>
      </c>
    </row>
    <row r="54" customFormat="false" ht="15" hidden="false" customHeight="true" outlineLevel="0" collapsed="false">
      <c r="A54" s="3" t="n">
        <v>47</v>
      </c>
      <c r="B54" s="3" t="n">
        <v>4</v>
      </c>
      <c r="C54" s="3" t="n">
        <f aca="false">'Tasks Tracker'!D51</f>
        <v>0</v>
      </c>
    </row>
    <row r="55" customFormat="false" ht="15" hidden="false" customHeight="true" outlineLevel="0" collapsed="false">
      <c r="A55" s="3" t="n">
        <v>48</v>
      </c>
      <c r="B55" s="3" t="n">
        <v>1</v>
      </c>
      <c r="C55" s="3" t="n">
        <f aca="false">'Tasks Tracker'!D52</f>
        <v>0</v>
      </c>
    </row>
    <row r="56" customFormat="false" ht="15" hidden="false" customHeight="true" outlineLevel="0" collapsed="false">
      <c r="A56" s="3" t="n">
        <v>49</v>
      </c>
      <c r="B56" s="3" t="n">
        <v>2</v>
      </c>
      <c r="C56" s="3" t="n">
        <f aca="false">'Tasks Tracker'!D53</f>
        <v>0</v>
      </c>
    </row>
    <row r="57" customFormat="false" ht="15" hidden="false" customHeight="true" outlineLevel="0" collapsed="false">
      <c r="A57" s="3" t="n">
        <v>50</v>
      </c>
      <c r="B57" s="3" t="n">
        <v>3</v>
      </c>
      <c r="C57" s="3" t="n">
        <f aca="false">'Tasks Tracker'!D54</f>
        <v>0</v>
      </c>
    </row>
    <row r="58" customFormat="false" ht="15" hidden="false" customHeight="true" outlineLevel="0" collapsed="false">
      <c r="A58" s="3" t="n">
        <v>51</v>
      </c>
      <c r="B58" s="3" t="n">
        <v>2</v>
      </c>
      <c r="C58" s="3" t="n">
        <f aca="false">'Tasks Tracker'!D55</f>
        <v>0</v>
      </c>
    </row>
    <row r="59" customFormat="false" ht="15" hidden="false" customHeight="true" outlineLevel="0" collapsed="false">
      <c r="A59" s="3" t="n">
        <v>52</v>
      </c>
      <c r="B59" s="3" t="n">
        <v>3</v>
      </c>
      <c r="C59" s="3" t="n">
        <f aca="false">'Tasks Tracker'!D56</f>
        <v>0</v>
      </c>
    </row>
    <row r="60" customFormat="false" ht="15" hidden="false" customHeight="true" outlineLevel="0" collapsed="false">
      <c r="A60" s="3" t="n">
        <v>53</v>
      </c>
      <c r="B60" s="3" t="n">
        <v>2</v>
      </c>
      <c r="C60" s="3" t="n">
        <f aca="false">'Tasks Tracker'!D57</f>
        <v>0</v>
      </c>
    </row>
    <row r="61" customFormat="false" ht="15" hidden="false" customHeight="true" outlineLevel="0" collapsed="false">
      <c r="A61" s="3" t="n">
        <v>54</v>
      </c>
      <c r="B61" s="3" t="n">
        <v>2</v>
      </c>
      <c r="C61" s="3" t="n">
        <f aca="false">'Tasks Tracker'!D58</f>
        <v>0</v>
      </c>
    </row>
    <row r="62" customFormat="false" ht="15" hidden="false" customHeight="true" outlineLevel="0" collapsed="false">
      <c r="A62" s="3" t="n">
        <v>55</v>
      </c>
      <c r="B62" s="3" t="n">
        <v>1</v>
      </c>
      <c r="C62" s="3" t="n">
        <f aca="false">'Tasks Tracker'!D59</f>
        <v>0</v>
      </c>
    </row>
    <row r="63" customFormat="false" ht="15" hidden="false" customHeight="true" outlineLevel="0" collapsed="false">
      <c r="A63" s="3" t="n">
        <v>56</v>
      </c>
      <c r="B63" s="3" t="n">
        <v>4</v>
      </c>
      <c r="C63" s="3" t="n">
        <f aca="false">'Tasks Tracker'!D60</f>
        <v>0</v>
      </c>
    </row>
    <row r="64" customFormat="false" ht="15" hidden="false" customHeight="true" outlineLevel="0" collapsed="false">
      <c r="A64" s="3" t="n">
        <v>57</v>
      </c>
      <c r="B64" s="3" t="n">
        <v>3</v>
      </c>
      <c r="C64" s="3" t="n">
        <f aca="false">'Tasks Tracker'!D61</f>
        <v>0</v>
      </c>
    </row>
    <row r="65" customFormat="false" ht="15" hidden="false" customHeight="true" outlineLevel="0" collapsed="false">
      <c r="A65" s="3" t="n">
        <v>58</v>
      </c>
      <c r="B65" s="3" t="n">
        <v>4</v>
      </c>
      <c r="C65" s="3" t="n">
        <f aca="false">'Tasks Tracker'!D62</f>
        <v>0</v>
      </c>
    </row>
    <row r="66" customFormat="false" ht="15" hidden="false" customHeight="true" outlineLevel="0" collapsed="false">
      <c r="A66" s="3" t="n">
        <v>59</v>
      </c>
      <c r="B66" s="3" t="n">
        <v>1</v>
      </c>
      <c r="C66" s="3" t="n">
        <f aca="false">'Tasks Tracker'!D63</f>
        <v>0</v>
      </c>
    </row>
    <row r="67" customFormat="false" ht="15" hidden="false" customHeight="true" outlineLevel="0" collapsed="false">
      <c r="A67" s="3" t="n">
        <v>60</v>
      </c>
      <c r="B67" s="3" t="n">
        <v>1</v>
      </c>
      <c r="C67" s="3" t="n">
        <f aca="false">'Tasks Tracker'!D64</f>
        <v>0</v>
      </c>
    </row>
    <row r="68" customFormat="false" ht="15" hidden="false" customHeight="true" outlineLevel="0" collapsed="false">
      <c r="A68" s="3" t="n">
        <v>61</v>
      </c>
      <c r="B68" s="3" t="n">
        <v>1</v>
      </c>
      <c r="C68" s="3" t="n">
        <f aca="false">'Tasks Tracker'!D65</f>
        <v>0</v>
      </c>
    </row>
    <row r="69" customFormat="false" ht="15" hidden="false" customHeight="true" outlineLevel="0" collapsed="false">
      <c r="C69" s="3" t="n">
        <f aca="false">'Tasks Tracker'!D66</f>
        <v>0</v>
      </c>
    </row>
    <row r="70" customFormat="false" ht="15" hidden="false" customHeight="true" outlineLevel="0" collapsed="false">
      <c r="C70" s="3" t="n">
        <f aca="false">'Tasks Tracker'!D67</f>
        <v>0</v>
      </c>
    </row>
    <row r="71" customFormat="false" ht="15" hidden="false" customHeight="true" outlineLevel="0" collapsed="false">
      <c r="C71" s="3" t="n">
        <f aca="false">'Tasks Tracker'!D68</f>
        <v>0</v>
      </c>
    </row>
    <row r="72" customFormat="false" ht="15" hidden="false" customHeight="true" outlineLevel="0" collapsed="false">
      <c r="C72" s="3" t="n">
        <f aca="false">'Tasks Tracker'!D69</f>
        <v>0</v>
      </c>
    </row>
    <row r="73" customFormat="false" ht="15" hidden="false" customHeight="true" outlineLevel="0" collapsed="false">
      <c r="C73" s="3" t="n">
        <f aca="false">'Tasks Tracker'!D70</f>
        <v>0</v>
      </c>
    </row>
    <row r="74" customFormat="false" ht="15" hidden="false" customHeight="true" outlineLevel="0" collapsed="false">
      <c r="C74" s="3" t="n">
        <f aca="false">'Tasks Tracker'!D71</f>
        <v>0</v>
      </c>
    </row>
    <row r="75" customFormat="false" ht="15" hidden="false" customHeight="true" outlineLevel="0" collapsed="false">
      <c r="C75" s="3" t="n">
        <f aca="false">'Tasks Tracker'!D72</f>
        <v>0</v>
      </c>
    </row>
    <row r="76" customFormat="false" ht="15" hidden="false" customHeight="true" outlineLevel="0" collapsed="false">
      <c r="C76" s="3" t="n">
        <f aca="false">'Tasks Tracker'!D73</f>
        <v>0</v>
      </c>
    </row>
    <row r="77" customFormat="false" ht="15" hidden="false" customHeight="true" outlineLevel="0" collapsed="false">
      <c r="C77" s="3" t="n">
        <f aca="false">'Tasks Tracker'!D74</f>
        <v>0</v>
      </c>
    </row>
    <row r="78" customFormat="false" ht="15" hidden="false" customHeight="true" outlineLevel="0" collapsed="false">
      <c r="C78" s="3" t="n">
        <f aca="false">'Tasks Tracker'!D75</f>
        <v>0</v>
      </c>
    </row>
    <row r="79" customFormat="false" ht="15" hidden="false" customHeight="true" outlineLevel="0" collapsed="false">
      <c r="C79" s="3" t="n">
        <f aca="false">'Tasks Tracker'!D76</f>
        <v>0</v>
      </c>
    </row>
    <row r="80" customFormat="false" ht="15" hidden="false" customHeight="true" outlineLevel="0" collapsed="false">
      <c r="C80" s="3" t="n">
        <f aca="false">'Tasks Tracker'!D77</f>
        <v>0</v>
      </c>
    </row>
    <row r="81" customFormat="false" ht="15" hidden="false" customHeight="true" outlineLevel="0" collapsed="false">
      <c r="C81" s="3" t="n">
        <f aca="false">'Tasks Tracker'!D78</f>
        <v>0</v>
      </c>
    </row>
    <row r="82" customFormat="false" ht="15" hidden="false" customHeight="true" outlineLevel="0" collapsed="false">
      <c r="C82" s="3" t="n">
        <f aca="false">'Tasks Tracker'!D79</f>
        <v>0</v>
      </c>
    </row>
    <row r="83" customFormat="false" ht="15" hidden="false" customHeight="true" outlineLevel="0" collapsed="false">
      <c r="C83" s="3" t="n">
        <f aca="false">'Tasks Tracker'!D80</f>
        <v>0</v>
      </c>
    </row>
    <row r="84" customFormat="false" ht="15" hidden="false" customHeight="true" outlineLevel="0" collapsed="false">
      <c r="C84" s="3" t="n">
        <f aca="false">'Tasks Tracker'!D81</f>
        <v>0</v>
      </c>
    </row>
    <row r="85" customFormat="false" ht="15" hidden="false" customHeight="true" outlineLevel="0" collapsed="false">
      <c r="C85" s="3" t="n">
        <f aca="false">'Tasks Tracker'!D82</f>
        <v>0</v>
      </c>
    </row>
    <row r="86" customFormat="false" ht="15" hidden="false" customHeight="true" outlineLevel="0" collapsed="false">
      <c r="C86" s="3" t="n">
        <f aca="false">'Tasks Tracker'!D83</f>
        <v>0</v>
      </c>
    </row>
    <row r="87" customFormat="false" ht="15" hidden="false" customHeight="true" outlineLevel="0" collapsed="false">
      <c r="C87" s="3" t="n">
        <f aca="false">'Tasks Tracker'!D84</f>
        <v>0</v>
      </c>
    </row>
    <row r="88" customFormat="false" ht="15" hidden="false" customHeight="true" outlineLevel="0" collapsed="false">
      <c r="C88" s="3" t="n">
        <f aca="false">'Tasks Tracker'!D85</f>
        <v>0</v>
      </c>
    </row>
    <row r="89" customFormat="false" ht="15" hidden="false" customHeight="true" outlineLevel="0" collapsed="false">
      <c r="C89" s="3" t="n">
        <f aca="false">'Tasks Tracker'!D86</f>
        <v>0</v>
      </c>
    </row>
    <row r="90" customFormat="false" ht="15" hidden="false" customHeight="true" outlineLevel="0" collapsed="false">
      <c r="C90" s="3" t="n">
        <f aca="false">'Tasks Tracker'!D87</f>
        <v>0</v>
      </c>
    </row>
    <row r="91" customFormat="false" ht="15" hidden="false" customHeight="true" outlineLevel="0" collapsed="false">
      <c r="C91" s="3" t="n">
        <f aca="false">'Tasks Tracker'!D88</f>
        <v>0</v>
      </c>
    </row>
    <row r="92" customFormat="false" ht="15" hidden="false" customHeight="true" outlineLevel="0" collapsed="false">
      <c r="C92" s="3" t="n">
        <f aca="false">'Tasks Tracker'!D89</f>
        <v>0</v>
      </c>
    </row>
    <row r="93" customFormat="false" ht="15" hidden="false" customHeight="true" outlineLevel="0" collapsed="false">
      <c r="C93" s="3" t="n">
        <f aca="false">'Tasks Tracker'!D90</f>
        <v>0</v>
      </c>
    </row>
    <row r="94" customFormat="false" ht="15" hidden="false" customHeight="true" outlineLevel="0" collapsed="false">
      <c r="C94" s="3" t="n">
        <f aca="false">'Tasks Tracker'!D91</f>
        <v>0</v>
      </c>
    </row>
    <row r="95" customFormat="false" ht="15" hidden="false" customHeight="true" outlineLevel="0" collapsed="false">
      <c r="C95" s="3" t="n">
        <f aca="false">'Tasks Tracker'!D92</f>
        <v>0</v>
      </c>
    </row>
    <row r="96" customFormat="false" ht="15" hidden="false" customHeight="true" outlineLevel="0" collapsed="false">
      <c r="C96" s="3" t="n">
        <f aca="false">'Tasks Tracker'!D93</f>
        <v>0</v>
      </c>
    </row>
    <row r="97" customFormat="false" ht="15" hidden="false" customHeight="true" outlineLevel="0" collapsed="false">
      <c r="C97" s="3" t="n">
        <f aca="false">'Tasks Tracker'!D94</f>
        <v>0</v>
      </c>
    </row>
    <row r="98" customFormat="false" ht="15" hidden="false" customHeight="true" outlineLevel="0" collapsed="false">
      <c r="C98" s="3" t="n">
        <f aca="false">'Tasks Tracker'!D95</f>
        <v>0</v>
      </c>
    </row>
    <row r="99" customFormat="false" ht="15" hidden="false" customHeight="true" outlineLevel="0" collapsed="false">
      <c r="C99" s="3" t="n">
        <f aca="false">'Tasks Tracker'!D96</f>
        <v>0</v>
      </c>
    </row>
    <row r="100" customFormat="false" ht="15" hidden="false" customHeight="true" outlineLevel="0" collapsed="false">
      <c r="C100" s="3" t="n">
        <f aca="false">'Tasks Tracker'!D97</f>
        <v>0</v>
      </c>
    </row>
    <row r="101" customFormat="false" ht="15" hidden="false" customHeight="true" outlineLevel="0" collapsed="false">
      <c r="C101" s="3" t="n">
        <f aca="false">'Tasks Tracker'!D98</f>
        <v>0</v>
      </c>
    </row>
    <row r="102" customFormat="false" ht="15" hidden="false" customHeight="true" outlineLevel="0" collapsed="false">
      <c r="C102" s="3" t="n">
        <f aca="false">'Tasks Tracker'!D99</f>
        <v>0</v>
      </c>
    </row>
    <row r="103" customFormat="false" ht="15" hidden="false" customHeight="true" outlineLevel="0" collapsed="false">
      <c r="C103" s="3" t="n">
        <f aca="false">'Tasks Tracker'!D100</f>
        <v>0</v>
      </c>
    </row>
    <row r="104" customFormat="false" ht="15" hidden="false" customHeight="true" outlineLevel="0" collapsed="false">
      <c r="C104" s="3" t="n">
        <f aca="false">'Tasks Tracker'!D101</f>
        <v>0</v>
      </c>
    </row>
    <row r="105" customFormat="false" ht="15" hidden="false" customHeight="true" outlineLevel="0" collapsed="false">
      <c r="C105" s="3" t="n">
        <f aca="false">'Tasks Tracker'!D102</f>
        <v>0</v>
      </c>
    </row>
    <row r="106" customFormat="false" ht="15" hidden="false" customHeight="true" outlineLevel="0" collapsed="false">
      <c r="C106" s="3" t="n">
        <f aca="false">'Tasks Tracker'!D103</f>
        <v>0</v>
      </c>
    </row>
    <row r="107" customFormat="false" ht="15" hidden="false" customHeight="true" outlineLevel="0" collapsed="false">
      <c r="C107" s="3" t="n">
        <f aca="false">'Tasks Tracker'!D104</f>
        <v>0</v>
      </c>
    </row>
    <row r="108" customFormat="false" ht="15" hidden="false" customHeight="true" outlineLevel="0" collapsed="false">
      <c r="C108" s="3" t="n">
        <f aca="false">'Tasks Tracker'!D105</f>
        <v>0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3" width="10.51"/>
  </cols>
  <sheetData>
    <row r="1" customFormat="false" ht="15" hidden="false" customHeight="true" outlineLevel="0" collapsed="false">
      <c r="A1" s="3" t="s">
        <v>274</v>
      </c>
    </row>
    <row r="2" customFormat="false" ht="15" hidden="false" customHeight="true" outlineLevel="0" collapsed="false">
      <c r="A2" s="247" t="n">
        <f aca="true">TODAY()</f>
        <v>46211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2025-11-06T06:04:09Z</dcterms:created>
  <dc:creator>Syed Ashraf</dc:creator>
  <dc:description/>
  <dc:language>en-US</dc:language>
  <cp:lastModifiedBy>Noura Hussain Alturki</cp:lastModifiedBy>
  <cp:lastPrinted>2025-11-13T06:39:18Z</cp:lastPrinted>
  <dcterms:modified xsi:type="dcterms:W3CDTF">2026-07-08T00:08:10Z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